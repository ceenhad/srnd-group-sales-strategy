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Account Transactions" sheetId="1" r:id="rId1"/>
  </sheets>
  <calcPr calcId="162913"/>
</workbook>
</file>

<file path=xl/sharedStrings.xml><?xml version="1.0" encoding="utf-8"?>
<sst xmlns="http://schemas.openxmlformats.org/spreadsheetml/2006/main" count="597" uniqueCount="597">
  <si>
    <t>Account Transactions</t>
  </si>
  <si>
    <t>Light Walls Ltd</t>
  </si>
  <si>
    <t>For the period 1 August 2016 to 31 August 2026</t>
  </si>
  <si>
    <t>Date</t>
  </si>
  <si>
    <t>Source</t>
  </si>
  <si>
    <t>Description</t>
  </si>
  <si>
    <t>Reference</t>
  </si>
  <si>
    <t>Currency</t>
  </si>
  <si>
    <t>Debit (Source)</t>
  </si>
  <si>
    <t>Credit (Source)</t>
  </si>
  <si>
    <t>Debit (GBP)</t>
  </si>
  <si>
    <t>Credit (GBP)</t>
  </si>
  <si>
    <t>Account</t>
  </si>
  <si>
    <t>Manual Journal</t>
  </si>
  <si>
    <t>WIP/Finished Goods Per SW Email 23-11-22</t>
  </si>
  <si>
    <t>#1829</t>
  </si>
  <si>
    <t>GBP</t>
  </si>
  <si>
    <t>Sales</t>
  </si>
  <si>
    <t>Reversal: WIP/Finished Goods Per SW Email 23-11-22</t>
  </si>
  <si>
    <t>#1831</t>
  </si>
  <si>
    <t>Work Completed for INT3 to 30th November 2022 (not yet invoiced) - Work Completed for INT3 to 30th November 2022 (not yet invoiced)</t>
  </si>
  <si>
    <t>#2260</t>
  </si>
  <si>
    <t>Sales - Inter Company</t>
  </si>
  <si>
    <t>Work Completed for INT3 To 30/06/2023 - Work Completed for INT3 To 30/06/2023</t>
  </si>
  <si>
    <t>#2700</t>
  </si>
  <si>
    <t>Reverse WIP</t>
  </si>
  <si>
    <t>#2815</t>
  </si>
  <si>
    <t>Work Done by LW Previously Owed by INT3 now Owed by DT</t>
  </si>
  <si>
    <t>#2918</t>
  </si>
  <si>
    <t>2025 Year End - 2025 Year End</t>
  </si>
  <si>
    <t>#3114</t>
  </si>
  <si>
    <t>Sales - Protopixel</t>
  </si>
  <si>
    <t>2026 Reversals - 2026 Reversals</t>
  </si>
  <si>
    <t>#3110</t>
  </si>
  <si>
    <t>Total</t>
  </si>
  <si>
    <t>apex Tech International Ltd</t>
  </si>
  <si>
    <t>Receivable Invoice</t>
  </si>
  <si>
    <t>apex Tech International Ltd - Protopixel Node</t>
  </si>
  <si>
    <t>INV-LW-1024</t>
  </si>
  <si>
    <t>apex Tech International Ltd - LW link cable 100m Drum</t>
  </si>
  <si>
    <t>Sales - Light Walls</t>
  </si>
  <si>
    <t>apex Tech International Ltd - 12V RGBW LED Tape 60/20 LEDs 5m - 300 LEDs- 20W/m</t>
  </si>
  <si>
    <t>apex Tech International Ltd - Meanwell 12V - 200W (UHP-200-12)</t>
  </si>
  <si>
    <t>apex Tech International Ltd - Meanwell 12W - 350W (UHP-350-12)</t>
  </si>
  <si>
    <t>apex Tech International Ltd - vLight USB interface to capture video from HDMI</t>
  </si>
  <si>
    <t>apex Tech International Ltd - Long Range Controller: 8ch long range sender with 8
receivers - 8 x 450 RGBW LEDs</t>
  </si>
  <si>
    <t>INV-LW-1040</t>
  </si>
  <si>
    <t>apex Tech International Ltd - Node Rack shelf</t>
  </si>
  <si>
    <t xml:space="preserve">apex Tech International Ltd - Long Range Controller: 8ch long range sender with 8
receivers - 8 x 450 RGBW LEDs
</t>
  </si>
  <si>
    <t>apex Tech International Ltd - Long Range controller rack shelf</t>
  </si>
  <si>
    <t xml:space="preserve">apex Tech International Ltd - Meanwell 12V - 500W (UHP-500-12) </t>
  </si>
  <si>
    <t xml:space="preserve">apex Tech International Ltd - vLight USB interface to capture video from HDMI </t>
  </si>
  <si>
    <t>apex Tech International Ltd - 30x50 LED profile with black diffusor</t>
  </si>
  <si>
    <t>apex Tech International Ltd - LED installation and pre-termination</t>
  </si>
  <si>
    <t>apex Tech International Ltd - Mini Screen to Reberto Gamba - taly</t>
  </si>
  <si>
    <t>INV-LW-1047</t>
  </si>
  <si>
    <t>Other Revenue</t>
  </si>
  <si>
    <t>apex Tech International Ltd - Shipping Recharge
SO# 1649
DHL 
Juan Mena (Personal Address)
Van Waes / Dielman
Van Diepenbeeckstraat 10 Antwerpen Belgium
ANTWERP
2018
Belgium</t>
  </si>
  <si>
    <t>INV-LW-1048</t>
  </si>
  <si>
    <t>apex Tech International Ltd - LW-CH-NODE
ProtoPixel Node</t>
  </si>
  <si>
    <t>INV-LW-1066</t>
  </si>
  <si>
    <t>apex Tech International Ltd - LW-ES-LWLINK-100M
LW Link Cable 100m (328 ft) Drum</t>
  </si>
  <si>
    <t>apex Tech International Ltd - LW-LP-LED-12V-RGBW
RGBW 60/20 LEDs M 12V 5M - 300 LEDs</t>
  </si>
  <si>
    <t>apex Tech International Ltd - LWCH-USB-VLIGHT
HDMI to USB vLight Interface</t>
  </si>
  <si>
    <t>apex Tech International Ltd - LW-CH-PP-LR8-SENDREC8
8 channel sender with 8 receivers - 8 x 450 RGBW LEDs</t>
  </si>
  <si>
    <t>apex Tech International Ltd - LW-PSU-MW-12V-350W
Meanwell 12V - 350w (UHP-350-12)</t>
  </si>
  <si>
    <t>apex Tech International Ltd - LW-CH-PP-NODE-RSHELF
Rack Shelf for ProtoPixel Node - 1 Node per 1U Rack Shelf</t>
  </si>
  <si>
    <t>apex Tech International Ltd - DHL - March 22
As per attachment</t>
  </si>
  <si>
    <t>Shipping Recharge</t>
  </si>
  <si>
    <t>apex Tech International Ltd - DHL April 22
As per Attachment</t>
  </si>
  <si>
    <t>apex Tech International Ltd - May 2022</t>
  </si>
  <si>
    <t>INV-LW-1085</t>
  </si>
  <si>
    <t>apex Tech International Ltd - June 2022</t>
  </si>
  <si>
    <t>apex Tech International Ltd - July 2022</t>
  </si>
  <si>
    <t>apex Tech International Ltd - Spet 2022</t>
  </si>
  <si>
    <t>apex Tech International Ltd - Shipping Recharge - DHL
Delivery to Jacob - Sweeden</t>
  </si>
  <si>
    <t>INV-LW-1097</t>
  </si>
  <si>
    <t>apex Tech International Ltd - LW-CH-NODE
Protopixel Node</t>
  </si>
  <si>
    <t>INV-LW-1104</t>
  </si>
  <si>
    <t>apex Tech International Ltd - LW-LP-LED-12V-RGBW
RGBW 60/60 LEDs M 5V 5M - 300 LEDs</t>
  </si>
  <si>
    <t>apex Tech International Ltd - Recharge DHL Shipping - April 23</t>
  </si>
  <si>
    <t>INV-LW-1119</t>
  </si>
  <si>
    <t>apex Tech International Ltd - DHL Shipping Recharge - November</t>
  </si>
  <si>
    <t>INV-LW-1142</t>
  </si>
  <si>
    <t>Total apex Tech International Ltd</t>
  </si>
  <si>
    <t>Apex Tech Scotland Ltd</t>
  </si>
  <si>
    <t>Apex Tech Scotland Ltd - Adorno Aluminium fabric panel system - custom sized to project</t>
  </si>
  <si>
    <t>QU-LW-1010</t>
  </si>
  <si>
    <t>Apex Tech Scotland Ltd - LW-PC-PP-NODE
Protopixel Node</t>
  </si>
  <si>
    <t>QU-LW-1009</t>
  </si>
  <si>
    <t>Apex Tech Scotland Ltd - LW-PC-PP-LR8-RSHELF
Protopixel Long Range Controller Rack Shelf</t>
  </si>
  <si>
    <t>Apex Tech Scotland Ltd - LW-PC-PP-LR8-SENDREC
8 channel sender with 8 recievers - 8 x 450 RGBW LEDs</t>
  </si>
  <si>
    <t>Apex Tech Scotland Ltd - LW-LP-LED-12V-RGBW
RGBW 60/20 LEDs M 12V 5M - 300 LEDs</t>
  </si>
  <si>
    <t>Apex Tech Scotland Ltd - 35 x 35mm Profile with end caps and black diffuser - item code LS-B3535D 3M</t>
  </si>
  <si>
    <t>Apex Tech Scotland Ltd - 35 x 35mm Profile with end caps and black diffuser - item code LS-B3535D 2M</t>
  </si>
  <si>
    <t>Apex Tech Scotland Ltd - 65 x 27.5mm stair/step nosing profile - item code LG-B6528 3M</t>
  </si>
  <si>
    <t>Apex Tech Scotland Ltd - Factory Pre Wiring</t>
  </si>
  <si>
    <t>Apex Tech Scotland Ltd - LIGHTSPION
COMPACT GONIOMETER SYSTEM</t>
  </si>
  <si>
    <t>INV-LW-1037</t>
  </si>
  <si>
    <t>Apex Tech Scotland Ltd - Re-charge of DHL Shipping in October 2021 as per attached Tracker log.</t>
  </si>
  <si>
    <t>INV-LW-1041</t>
  </si>
  <si>
    <t>Apex Tech Scotland Ltd - Panaz Altair Fabric - Charcoal
For Joppa Road cinema project</t>
  </si>
  <si>
    <t>INV-LW-1043</t>
  </si>
  <si>
    <t>Receivable Credit Note</t>
  </si>
  <si>
    <t>Apex Tech Scotland Ltd - Credit for payment of Light Spion Goniometor</t>
  </si>
  <si>
    <t>Apex Tech Scotland Ltd - DHL - As Per Schedule Attached</t>
  </si>
  <si>
    <t>November Shipping</t>
  </si>
  <si>
    <t xml:space="preserve">Apex Tech Scotland Ltd - Shipping Recharge
Jan 2022 - As per attached schedule
</t>
  </si>
  <si>
    <t>INV-LW-1063</t>
  </si>
  <si>
    <t>Apex Tech Scotland Ltd - Shipping Recharge 
FEb 2022
As per attached PDF</t>
  </si>
  <si>
    <t>INV-LW-1064</t>
  </si>
  <si>
    <t xml:space="preserve">Apex Tech Scotland Ltd - LW-ES-LWLINK-100M
LW Link Cable 100m (328 ft) Drum
</t>
  </si>
  <si>
    <t>PO-2242</t>
  </si>
  <si>
    <t>Apex Tech Scotland Ltd - DHL - March 22
As per attachment</t>
  </si>
  <si>
    <t>Apex Tech Scotland Ltd - DHL April 22
As per Attachment</t>
  </si>
  <si>
    <t>Apex Tech Scotland Ltd - May 2022</t>
  </si>
  <si>
    <t>INV-LW-1086</t>
  </si>
  <si>
    <t>Apex Tech Scotland Ltd - June 2022</t>
  </si>
  <si>
    <t>Apex Tech Scotland Ltd - July 2022</t>
  </si>
  <si>
    <t>Apex Tech Scotland Ltd - August 2022</t>
  </si>
  <si>
    <t>Apex Tech Scotland Ltd - September 2022</t>
  </si>
  <si>
    <t>Apex Tech Scotland Ltd - Shipping Recharge - DHL - October
As per attached spreadsheet.</t>
  </si>
  <si>
    <t>INV-LW-1096</t>
  </si>
  <si>
    <t>Apex Tech Scotland Ltd - Recharge DHL Shipping - April 23</t>
  </si>
  <si>
    <t>INV-LW-1116</t>
  </si>
  <si>
    <t>Apex Tech Scotland Ltd - DHL Shipping Recharge - May 23</t>
  </si>
  <si>
    <t>INV-LW-1127</t>
  </si>
  <si>
    <t>Apex Tech Scotland Ltd - DHL Shipping Recharge - June 23</t>
  </si>
  <si>
    <t>Apex Tech Scotland Ltd - DHL Shipping Recharge - July 23</t>
  </si>
  <si>
    <t>Apex Tech Scotland Ltd - 
DHL Shipping Recharge - August 23</t>
  </si>
  <si>
    <t>Total Apex Tech Scotland Ltd</t>
  </si>
  <si>
    <t>Apex Tech Scotland Ltd / Apex-Tech UK</t>
  </si>
  <si>
    <t>Apex Tech Scotland Ltd / Apex-Tech UK - Shipping recharge - November 2022</t>
  </si>
  <si>
    <t>INV-LW-1106</t>
  </si>
  <si>
    <t>Apex Tech Scotland Ltd / Apex-Tech UK - Shipping recharge - December 2022</t>
  </si>
  <si>
    <t>Apex Tech Scotland Ltd / Apex-Tech UK - Shipping recharge - January 2023</t>
  </si>
  <si>
    <t>Apex Tech Scotland Ltd / Apex-Tech UK - DHL Shipping Recharge - September</t>
  </si>
  <si>
    <t>INV-LW-1140</t>
  </si>
  <si>
    <t>Apex Tech Scotland Ltd / Apex-Tech UK - DHL Shipping Recharge - October</t>
  </si>
  <si>
    <t>Total Apex Tech Scotland Ltd / Apex-Tech UK</t>
  </si>
  <si>
    <t>Apex Technologies USA LLC</t>
  </si>
  <si>
    <t>Apex Technologies USA LLC - LW-PC-PPNODE
Node</t>
  </si>
  <si>
    <t>PO-157</t>
  </si>
  <si>
    <t>Apex Technologies USA LLC - LW-PC-PPNode-Shelf
Node Shelf</t>
  </si>
  <si>
    <t>Apex Technologies USA LLC - LW-PC-PP-1CH-CON
1 Channel Controller</t>
  </si>
  <si>
    <t xml:space="preserve">Apex Technologies USA LLC - LW-W-NDIHDMI-IN
NDI - HDMI In - NDI Out
</t>
  </si>
  <si>
    <t>Apex Technologies USA LLC - LW-ESMW-12V-350W
Meanwell 12V - 350w (UHP-350-12)</t>
  </si>
  <si>
    <t>Apex Technologies USA LLC - LW-LPLED-12VRGBW
RGBW 60/20 LEDs M 12V 5M - 300 LEDs</t>
  </si>
  <si>
    <t>Apex Technologies USA LLC - Custom Content</t>
  </si>
  <si>
    <t>Apex Technologies USA LLC - LW-PC-PPNODE
Node</t>
  </si>
  <si>
    <t>PO-189</t>
  </si>
  <si>
    <t>Apex Technologies USA LLC - LW-LPLED-12VRGBW
RGBW 60/20 LEDs M 12V 5M - 300 LEDs</t>
  </si>
  <si>
    <t>Apex Technologies USA LLC - LW-PC-PP-
8CHSENDREC
8 channel controller w/ 8 receivers - 8x 450
RGBW LEDs</t>
  </si>
  <si>
    <t>Receive Money</t>
  </si>
  <si>
    <t>Apex Technologies USA LLC - Transaction fees reimbursed for ch_1IJncYCRtEyavs3CqoGmc6j9</t>
  </si>
  <si>
    <t>ch_1IJncYCRtEyavs3CqoGmc6j9</t>
  </si>
  <si>
    <t>Apex Technologies USA LLC - Aura Panel 300mm x 800mm with White diffuser</t>
  </si>
  <si>
    <t>Demo</t>
  </si>
  <si>
    <t>Apex Technologies USA LLC - Wifi Mini Protopixel Controller for above
LW-PC-PP-1CH-WCON</t>
  </si>
  <si>
    <t>Apex Technologies USA LLC - Demonstration kit in briefcase</t>
  </si>
  <si>
    <t>PO-0223</t>
  </si>
  <si>
    <t>PO-0224</t>
  </si>
  <si>
    <t>PO-0222</t>
  </si>
  <si>
    <t>Apex Technologies USA LLC - LW-PC-PP-NODE
Node</t>
  </si>
  <si>
    <t>po239</t>
  </si>
  <si>
    <t>Apex Technologies USA LLC - LW-PC-PP-1CH-CON
1 Channel Mini Controller Ethernet</t>
  </si>
  <si>
    <t>Apex Technologies USA LLC - LW-PC-PP-1CH-WCON
LW-PC-PP-1CH-CON
1 Channel Mini Controller Wifi</t>
  </si>
  <si>
    <t>Apex Technologies USA LLC - LW-W-vLight-Interface
vLight HDMI video to Interface</t>
  </si>
  <si>
    <t>PO-0288</t>
  </si>
  <si>
    <t>Apex Technologies USA LLC - Light Walls Aura Panel system for AHT Miami Studio Project as per quotation and sizes provided to date.</t>
  </si>
  <si>
    <t>PO#302</t>
  </si>
  <si>
    <t>Apex Technologies USA LLC - LW-ESLWLINK-
500M
500mm Cable Pack</t>
  </si>
  <si>
    <t>313</t>
  </si>
  <si>
    <t>Apex Technologies USA LLC - 550 by 1300mm Aura Panel</t>
  </si>
  <si>
    <t>305</t>
  </si>
  <si>
    <t>Apex Technologies USA LLC - 500 by 1300mm White Diffuser</t>
  </si>
  <si>
    <t>Apex Technologies USA LLC - 1 channel Wi Fi controller - 450 RGBW LEDs</t>
  </si>
  <si>
    <t>Apex Technologies USA LLC - Light Walls Demo Case</t>
  </si>
  <si>
    <t>317</t>
  </si>
  <si>
    <t xml:space="preserve">Apex Technologies USA LLC - LW-ESLWLINK-
500M
</t>
  </si>
  <si>
    <t>PO347</t>
  </si>
  <si>
    <t>Apex Technologies USA LLC - Demo for Echo Systems - Gas Company
2m of LED Tape, PP Wifi Controller, 12v
PSU, Black Board
Wifi Controller to be taken for Apex US stocks</t>
  </si>
  <si>
    <t>PO348</t>
  </si>
  <si>
    <t>Apex Technologies USA LLC - RGBW 60/20 LEDs M 12V supplied in 5M - 300 LEDs</t>
  </si>
  <si>
    <t>PO-369</t>
  </si>
  <si>
    <t>Apex Technologies USA LLC - LW-PC-PP-LR8-REC
Long Range Receiver</t>
  </si>
  <si>
    <t>Apex Technologies USA LLC - LW-PC-PP-LR8-SEND
Long Range Controller</t>
  </si>
  <si>
    <t>Apex Technologies USA LLC - LW-ES-MW-12V-500W
Power Supplies</t>
  </si>
  <si>
    <t>Apex Technologies USA LLC - LW-W-USB-VLIGHT
vLight Interface</t>
  </si>
  <si>
    <t>Apex Technologies USA LLC - LW-PC-PP-NODE
Node</t>
  </si>
  <si>
    <t>Apex Technologies USA LLC - LW-Node Shelf</t>
  </si>
  <si>
    <t xml:space="preserve">Apex Technologies USA LLC - 35mm x 35mm Black Anodised aluminium channel with grey diffusor. To include custom fixing clips to mount direct to Sculpform track. </t>
  </si>
  <si>
    <t>Apex Technologies USA LLC - Factory Pre wire and termination of LED for on site fitting</t>
  </si>
  <si>
    <t>Apex Technologies USA LLC - Click-on battens: 41.08m2 (43.13m2 including 5% wastage)
Batten sequence: 32mmWx60mmD, 32mm gaps (64mm centres)
/ Mounting track centres: 600mm</t>
  </si>
  <si>
    <t>PO-370</t>
  </si>
  <si>
    <t>Apex Technologies USA LLC - Meanwell 12V - 500w (UHP-500-12)</t>
  </si>
  <si>
    <t>383</t>
  </si>
  <si>
    <t>Apex Technologies USA LLC - RGBW 60/20 LEDs M 12V 5M - 300 LEDs</t>
  </si>
  <si>
    <t>Apex Technologies USA LLC - Long Ranger Controller with 8 Receivers</t>
  </si>
  <si>
    <t>Apex Technologies USA LLC - 100 Meter Cable Pack</t>
  </si>
  <si>
    <t>Apex Technologies USA LLC - Long Range Controller Rack Shelf</t>
  </si>
  <si>
    <t>Apex Technologies USA LLC - Demonstration Kit</t>
  </si>
  <si>
    <t>376</t>
  </si>
  <si>
    <t>Apex Technologies USA LLC - LW-ESLWLINK-100M
100 Meter Cable Pack</t>
  </si>
  <si>
    <t>PO-0420</t>
  </si>
  <si>
    <t>499</t>
  </si>
  <si>
    <t>Apex Technologies USA LLC - Shipped LW's DHL account for speed.</t>
  </si>
  <si>
    <t>PO-499</t>
  </si>
  <si>
    <t>Apex Technologies USA LLC - Transaction fees reimbursed for ch_3K9sh2CRtEyavs3C0DbAiBcA</t>
  </si>
  <si>
    <t>ch_3K9sh2CRtEyavs3C0DbAiBcA</t>
  </si>
  <si>
    <t>Apex Technologies USA LLC - Transaction fees reimbursed for ch_3K9u1oCRtEyavs3C0shEXe4s</t>
  </si>
  <si>
    <t>ch_3K9u1oCRtEyavs3C0shEXe4s</t>
  </si>
  <si>
    <t xml:space="preserve">Apex Technologies USA LLC - 1 Mini Aura Panel 3x1 white diffuser </t>
  </si>
  <si>
    <t>PO-521</t>
  </si>
  <si>
    <t>Apex Technologies USA LLC - 800mm LED Profile - Back with Smoke diffusor, to include mini stand and pre wiring</t>
  </si>
  <si>
    <t>Apex Technologies USA LLC - LW-ES-MW-12V-350W</t>
  </si>
  <si>
    <t>Apex Technologies USA LLC - LW-PC-PP-MINICON-W</t>
  </si>
  <si>
    <t xml:space="preserve">Apex Technologies USA LLC - LW-MP-CRI95-250-250
250x250 Matrix Panel CRI95
</t>
  </si>
  <si>
    <t>PO#508</t>
  </si>
  <si>
    <t>Apex Technologies USA LLC - LW-MP-CRI95-250-50
250x50 Matrix Panel CRI95</t>
  </si>
  <si>
    <t>Apex Technologies USA LLC - Meanwell 12V - 200w (UHP-200-12)</t>
  </si>
  <si>
    <t>Apex Technologies USA LLC - LW-PC-PP-LR8-SENDREC8
8 channel sender with 8 recievers - 8 x 450 RGBW LEDs</t>
  </si>
  <si>
    <t>Apex Technologies USA LLC - LW-PC-PP-LR8-RSHELF
8 channel sender rack shelf</t>
  </si>
  <si>
    <t>Apex Technologies USA LLC - Aluminium Structure back plates, pre wiring</t>
  </si>
  <si>
    <t>Apex Technologies USA LLC - Engineering drawings</t>
  </si>
  <si>
    <t>Apex Technologies USA LLC - Aura Panel based on 2700mm x 700mm</t>
  </si>
  <si>
    <t>Apex Technologies USA LLC - LW-LP-LED-12V-RGBW
5m</t>
  </si>
  <si>
    <t>Apex Technologies USA LLC - Panel W2
Fine Pixel On-cost</t>
  </si>
  <si>
    <t>PO#507</t>
  </si>
  <si>
    <t>Apex Technologies USA LLC - Panel W4
Fine Pixel On-cost</t>
  </si>
  <si>
    <t>Apex Technologies USA LLC - Panel W5
Fine Pixel On-cost</t>
  </si>
  <si>
    <t>Apex Technologies USA LLC - Panel W7
Fine Pixel On-cost</t>
  </si>
  <si>
    <t>Apex Technologies USA LLC - Aura Panel based on 4520mm x 400mm</t>
  </si>
  <si>
    <t>Apex Technologies USA LLC - Additional requested brackets for Aura panels for AHT</t>
  </si>
  <si>
    <t>INV-LW-1067</t>
  </si>
  <si>
    <t>Apex Technologies USA LLC - 3.2m x 32m of LightWalls Fabric</t>
  </si>
  <si>
    <t>PO-628</t>
  </si>
  <si>
    <t>Apex Technologies USA LLC - LW-EL-MX- 5x5
Matrix LED Tile -Elite- 5x5 Pixel Configuration - 250mm x 250mm - WS2814 - CRI 95+</t>
  </si>
  <si>
    <t>PO679</t>
  </si>
  <si>
    <t>Apex Technologies USA LLC - LW-CHNODE
ProtoPixel Node</t>
  </si>
  <si>
    <t>Apex Technologies USA LLC - LW-CH-PPLR8-SENDREC 8</t>
  </si>
  <si>
    <t>Apex Technologies USA LLC - LW-CH-PPLR8-SENDREC8
8 channel sender with 8 receivers - 8 x 450 RGBW
LEDs</t>
  </si>
  <si>
    <t>PO684</t>
  </si>
  <si>
    <t>Apex Technologies USA LLC - Custom Mechanical Design - CAD, PDF Output (Per Hour)</t>
  </si>
  <si>
    <t>Miami Studio</t>
  </si>
  <si>
    <t>Apex Technologies USA LLC - W-EL-MX-5x5
Matrix LED Tile -Elite- 5x5 Pixel Configuration
- 250mm x 250mm - WS2814 - CRI 95+</t>
  </si>
  <si>
    <t>PO-0781</t>
  </si>
  <si>
    <t>Apex Technologies USA LLC - W-EL-MX-5x1
5x1
Matrix LED Tile -Elite- 5x1 Pixel Configuration
- 250mm x 25mm - WS2814 - CRI 95+</t>
  </si>
  <si>
    <t>Apex Technologies USA LLC - W-EL-MX-1x1
Matrix LED Tile-Elite- 5x5 Pixel Configuration
- 50mm x 50mm - WS2814 - CRI 95+</t>
  </si>
  <si>
    <t xml:space="preserve">Apex Technologies USA LLC - LW-CH-Duo
ProtoPixel Duo Two Channel LED Controller
2 x 450 RGBW LEDs
</t>
  </si>
  <si>
    <t>Apex Technologies USA LLC - LW-CH-PP-LR8-SENDREC8
8 channel sender with 8 receivers - 8 x 450 RGBW LEDs</t>
  </si>
  <si>
    <t>PO-0814</t>
  </si>
  <si>
    <t>Apex Technologies USA LLC - LW-CH-PP-LR8-RSHELF
Rack Shelf for ProtoPixel LR Sender - 2 Senders per 1U Rack Shelf</t>
  </si>
  <si>
    <t>Apex Technologies USA LLC - LW-CH-PP-NODE-RSHELF
Rack Shelf for ProtoPixel Node - 1 Node per 1U Rack Shelf</t>
  </si>
  <si>
    <t>Apex Technologies USA LLC - LW-CH-NODE
ProtoPixel Node</t>
  </si>
  <si>
    <t>Apex Technologies USA LLC - LW-LP-LED-12V-RGBW</t>
  </si>
  <si>
    <t>Apex Technologies USA LLC - LW-PSU-MW-12V-200W
Meanwell 12V - 200w (UHP-200-12)</t>
  </si>
  <si>
    <t>Apex Technologies USA LLC - LW-PSU-MW-12V-60W
Meanwell 12V - 60w</t>
  </si>
  <si>
    <t>Apex Technologies USA LLC - LWCH-USB-VLIGHT
HDMI to USB vLight Interface</t>
  </si>
  <si>
    <t>Apex Technologies USA LLC - LW-ENG-SOFT-CONFIG
Software Configuration for Pre configuring of Software - Mapping and Basic content for setup (Per Hour)</t>
  </si>
  <si>
    <t>Apex Technologies USA LLC - LW-ENG-SYSTEM-DESIGN
System Design and Schematic Layouts - CAD, PDF Output (Per Hour)</t>
  </si>
  <si>
    <t>Apex Technologies USA LLC - LW-ES-LWLINK-100M
LW Link Cable 100m (328 ft) Drum</t>
  </si>
  <si>
    <t>Apex Technologies USA LLC - Visualisation for PW project / AHT as agreed with Ryan</t>
  </si>
  <si>
    <t>Visualisation</t>
  </si>
  <si>
    <t>Apex Technologies USA LLC - Spply of additional Aura panel sections to replace existing sections around Projection lift in central ceiling raft.
4012mm x 2744mm</t>
  </si>
  <si>
    <t>QU-LW-1045</t>
  </si>
  <si>
    <t xml:space="preserve">Apex Technologies USA LLC - Credit from returned LED Tiles. to be removed from ceiling sections and returned to LW's in UK where they will be tested and reused. </t>
  </si>
  <si>
    <t>Apex Technologies USA LLC - Replacemnt Aura panel diffuser to cover entire central ceiling raft.</t>
  </si>
  <si>
    <t>Apex Technologies USA LLC - Reduction for Central panel already paid for</t>
  </si>
  <si>
    <t>Apex Technologies USA LLC - LW-CHNODE
ProtoPixel Node</t>
  </si>
  <si>
    <t>PO-0870</t>
  </si>
  <si>
    <t>Apex Technologies USA LLC - LW-CH-PPNODERSHELF
Rack Shelf for ProtoPixel Node - 1 Node per
1U Rack Shelf</t>
  </si>
  <si>
    <t>Apex Technologies USA LLC - LW-CH-PPLR8-SENDREC8
8 channel sender with 8 receivers - 8 x 450
RGBW LEDs</t>
  </si>
  <si>
    <t>Apex Technologies USA LLC - LW-PSUMW-12V-500W
Meanwell 12V - 500w (UHP-500-12)</t>
  </si>
  <si>
    <t>Apex Technologies USA LLC - LW-ESLWLINK-100M
LW Link Cable 100m (328 ft) Drum</t>
  </si>
  <si>
    <t>Apex Technologies USA LLC - LW-LPLED-12VRGBW
RGBW 60/20 LEDs M 12V 5M - 300 LEDs</t>
  </si>
  <si>
    <t>PO-871</t>
  </si>
  <si>
    <t>Apex Technologies USA LLC - LW-CH-PPLR8-SENDREC8
8 channel sender with 8 receivers - 8 x 450
RGBW LEDs</t>
  </si>
  <si>
    <t>PO987</t>
  </si>
  <si>
    <t>PO-1134</t>
  </si>
  <si>
    <t>Apex Technologies USA LLC - 10% Distribution Levy '23/'24</t>
  </si>
  <si>
    <t>Apex Technologies USA LLC - LW-CH-PPLR8-SENDREC-8
8 channel sender with 8 receivers - 8 x 450 RGBW LEDs</t>
  </si>
  <si>
    <t>PO-1145</t>
  </si>
  <si>
    <t>Apex Technologies USA LLC - LW-EL-MX-5x5
Matrix LED Tile -Elite- 5x5 Pixel Configuration
- 250mm x 250mm - WS2814 - CRI 95+</t>
  </si>
  <si>
    <t>Apex Technologies USA LLC - LW-ESLWLINK-
100M
LW Link Cable 100m (328 ft) Drum</t>
  </si>
  <si>
    <t>Apex Technologies USA LLC - LW-PSUMW-
12V-
350W
Meanwell 12V - 350w (UHP-350-12)</t>
  </si>
  <si>
    <t>Apex Technologies USA LLC - 10% distribution Levy - 23/24</t>
  </si>
  <si>
    <t>Apex Technologies USA LLC - Flights</t>
  </si>
  <si>
    <t>Apex Technologies USA LLC - Hotel</t>
  </si>
  <si>
    <t>Apex Technologies USA LLC - Travel and Expenses</t>
  </si>
  <si>
    <t>Apex Technologies USA LLC - Labour</t>
  </si>
  <si>
    <t>PO-1233</t>
  </si>
  <si>
    <t>Apex Technologies USA LLC - LW-CH-PPLR8-SENDREC8
8 channel sender with 8 receivers - 8 x 450 RGBW LEDs</t>
  </si>
  <si>
    <t>Apex Technologies USA LLC - 10% Distribution Levy 23/24</t>
  </si>
  <si>
    <t>PO-1251</t>
  </si>
  <si>
    <t>Apex Technologies USA LLC - LW-CH-PPNODERSHELF
Rack Shelf for ProtoPixel Node - 1 Node per
1U Rack Shelf</t>
  </si>
  <si>
    <t>Apex Technologies USA LLC - LW-CH-PPLR8-RSHELF
Rack Shelf for ProtoPixel LR Sender - 2
Senders per 1U Rack Shelf</t>
  </si>
  <si>
    <t>Apex Technologies USA LLC - LWCHUSBVLIGHT
HDMI to USB vLight Interface</t>
  </si>
  <si>
    <t>Apex Technologies USA LLC - 10% Levy Fee - '23/'24</t>
  </si>
  <si>
    <t>Apex Technologies USA LLC - Diffuser Fabric - W1
1890mm x 2630mm</t>
  </si>
  <si>
    <t>QU-LW-1053</t>
  </si>
  <si>
    <t>Apex Technologies USA LLC - Diffuser Fabric - W3
2438mm x 2630mm</t>
  </si>
  <si>
    <t>Apex Technologies USA LLC - Diffuser Fabric - W6
998mm x 2630mm</t>
  </si>
  <si>
    <t>Apex Technologies USA LLC - Diffuser Fabric - W8
337mm x 2630mm</t>
  </si>
  <si>
    <t>Apex Technologies USA LLC - Diffuser Fabric - W9
276mm x 2630mm</t>
  </si>
  <si>
    <t>Apex Technologies USA LLC - LW-CHAN-1616-WHT-3M
Small Corner Aluminium Channel 1616 in White -  cut to 8 feet (2438mm) with Opaque Diffuser.</t>
  </si>
  <si>
    <t>QU-LW-1054</t>
  </si>
  <si>
    <t>Apex Technologies USA LLC - 10% Distributoion Levy - '23/24</t>
  </si>
  <si>
    <t>Apex Technologies USA LLC - LW-ESLWLINK-500M
LW Link Cable 500m (1640 ft) Drum</t>
  </si>
  <si>
    <t>1284</t>
  </si>
  <si>
    <t>Apex Technologies USA LLC - 10% Distribution Levy - '23/24</t>
  </si>
  <si>
    <t>Apex Technologies USA LLC - LW-3535-SM-B-B-1-LED12P
35mm x 35mm Surface Mount Profile - Black Anodised Profile - Black Diffusor up to 1m - Populated with 12v RGBW Pro Pixel LED and Terminated with Tails</t>
  </si>
  <si>
    <t>QU-LW-1052</t>
  </si>
  <si>
    <t>Apex Technologies USA LLC - LW-3535-SM-B-B-2-LED12P
35mm x 35mm Surface Mount Profile - Black Anodised Profile - Black Diffusor up to 2m - Populated with 12v RGBW Pro Pixel LED and Terminated with Tails</t>
  </si>
  <si>
    <t>Apex Technologies USA LLC - LW-3535-SM-B-B-3-LED12P
35mm x 35mm Surface Mount Profile - Black Anodised Profile - Black Diffusor up to 3m - Populated with 12v RGBW Pro Pixel LED and Terminated with Tails</t>
  </si>
  <si>
    <t>Apex Technologies USA LLC - LW-PSU-MW-12V-350W
Meanwell 12V - 350w (UHP-350-12)</t>
  </si>
  <si>
    <t>Apex Technologies USA LLC - LW-CH-NODE
ProtoPixel Node</t>
  </si>
  <si>
    <t>Apex Technologies USA LLC - LW-CH-PP-LR8-SENDREC8
8 channel sender with 8 receivers - 8 x 450 RGBW LEDs</t>
  </si>
  <si>
    <t>Apex Technologies USA LLC - LW-ES-LWLINK-100M
LW Link Cable 100m (328 ft) Drum</t>
  </si>
  <si>
    <t>Apex Technologies USA LLC - LW-ENG-SYSTEM-DESIGN
System Design and Schematic Layouts - CAD, PDF Output (Per Hour)</t>
  </si>
  <si>
    <t>Apex Technologies USA LLC - 10% Distribution Levy '23/24</t>
  </si>
  <si>
    <t>Apex Technologies USA LLC - LW-EL-MX-5x1
Matrix LED Tile -Elite- 5x1 Pixel Configuration - 250mm x 25mm - WS2814 - CRI 95+</t>
  </si>
  <si>
    <t>PO-1331</t>
  </si>
  <si>
    <t>Apex Technologies USA LLC - LW-CHDuo
ProtoPixel Duo Two Channel LED Controller 2 x 450 RGBW LEDs</t>
  </si>
  <si>
    <t>Apex Technologies USA LLC - '23/'24 Distribution Levy 10%</t>
  </si>
  <si>
    <t>Apex Technologies USA LLC - 30mm circular double-sided LED profile - 2m. Black Anodyse with a grey diffuser.</t>
  </si>
  <si>
    <t>QU-LW-1059</t>
  </si>
  <si>
    <t>Apex Technologies USA LLC - 10% 23/24 Disptriution Levy.</t>
  </si>
  <si>
    <t>Total Apex Technologies USA LLC</t>
  </si>
  <si>
    <t>Chevalier</t>
  </si>
  <si>
    <t>Chevalier - Custom LED Light Fixture RGBW 95+CRI at 4000K 700Lumen Custom RAL8008 Olivbaun finish. Drivers included</t>
  </si>
  <si>
    <t>Chalet M L3 Spot Lights</t>
  </si>
  <si>
    <t>Chevalier - ProtoPixel Lighting Scenes Controller</t>
  </si>
  <si>
    <t>Chevalier - ArtNet WLAN Receiver including 5V PSU</t>
  </si>
  <si>
    <t>Total Chevalier</t>
  </si>
  <si>
    <t>Cinema Lusso</t>
  </si>
  <si>
    <t>Cinema Lusso - LW-CH-NODE
ProtoPixel Node</t>
  </si>
  <si>
    <t>INV-LW-1052</t>
  </si>
  <si>
    <t>Cinema Lusso - LW-CH-MINICON-E
1 channel controller - 450 RGBW LEDs</t>
  </si>
  <si>
    <t>Cinema Lusso - LW-LP-LED-12V-RGBW
RGBW 60/20 LEDs M 12V 5M - 300 LEDs</t>
  </si>
  <si>
    <t>Cinema Lusso - Transaction fees reimbursed for ch_3KMZWvCRtEyavs3C1Yu58p4M</t>
  </si>
  <si>
    <t>ch_3KMZWvCRtEyavs3C1Yu58p4M</t>
  </si>
  <si>
    <t>Total Cinema Lusso</t>
  </si>
  <si>
    <t>Cinema Partners</t>
  </si>
  <si>
    <t>Cinema Partners - LW-3535-SM-B-B-1
35mm x 35mm Surface Mount Profile - Black Anodised Profile - Black Diffusor - Populated with 12v RGBW Pro Pixel LED and Terminated with Tails</t>
  </si>
  <si>
    <t>QU-LW-1025</t>
  </si>
  <si>
    <t>Cinema Partners - LW-3535-SM-B-B-2
35mm x 35mm Surface Mount Profile - Black Anodised Profile - Black Diffusor - Populated with 12v RGBW Pro Pixel LED and Terminated with Tails</t>
  </si>
  <si>
    <t>Cinema Partners - LW-3535-SM-B-B-3
35mm x 35mm Surface Mount Profile - Black Anodised Profile - Black Diffusor - Populated with 12v RGBW Pro Pixel LED and Terminated with Tails</t>
  </si>
  <si>
    <t>Cinema Partners - LW-CH-NODE
ProtoPixel Node</t>
  </si>
  <si>
    <t>Cinema Partners - LW-CH-PP-LR8-SENDREC8
8 channel sender with 8 receivers - 8 x 450 RGBW LEDs</t>
  </si>
  <si>
    <t>Cinema Partners - LW-CH-PP-LR8-RSHELF
Rack Shelf for ProtoPixel LR Sender - 2 Senders per 1U Rack Shelf</t>
  </si>
  <si>
    <t>Cinema Partners - LW-CH-PP-NODE-RSHELF
Rack Shelf for ProtoPixel Node - 1 Node per 1U Rack Shelf</t>
  </si>
  <si>
    <t>Cinema Partners - LW-PSU-MW-12v-350w
Meanwell 12v - 350w PSU</t>
  </si>
  <si>
    <t>Cinema Partners - LW-PSU-MW-12v-500w
Meanwell 12v - 500w PSU</t>
  </si>
  <si>
    <t>Cinema Partners - LWCH-USB-VLIGHT
HDMI to USB vLight Interface</t>
  </si>
  <si>
    <t>Cinema Partners - LW-ES-LWLink-500M
LW Link Cable 500m (1640ft) Drum</t>
  </si>
  <si>
    <t>Cinema Partners - LW-LP-LED-12V-RGBW
RGBW 60/20 LEDs M 12V 5M - 300 LEDs</t>
  </si>
  <si>
    <t>Cinema Partners - Screen Packing 18mm</t>
  </si>
  <si>
    <t>Cinema Partners - LW-ENG-SOFT-CONFIG
Software Configuration for Pre configuring of Software - Mapping and Basic content for setup (Per Hour)
First 50%</t>
  </si>
  <si>
    <t xml:space="preserve">Cinema Partners - LW-ENG-SYSTEM-DESIGN
System Design and Schematic Layouts - CAD, PDF Output (Per Hour)
First 50%
</t>
  </si>
  <si>
    <t>Cinema Partners - LW-ENG-COMM
Light Walls On site Installation and commissioning (days)
First 50%</t>
  </si>
  <si>
    <t>Cinema Partners - Delivery to Herriot Row</t>
  </si>
  <si>
    <t>Total Cinema Partners</t>
  </si>
  <si>
    <t>Cinemas and Control</t>
  </si>
  <si>
    <t>Cinemas and Control - LW-CH-NODE
Protopixel Node</t>
  </si>
  <si>
    <t>QU-LW-1017</t>
  </si>
  <si>
    <t>Cinemas and Control - LW-PC-PP-LR8-SENDREC8
8 channel sender with 8 recievers - 8 x 450 RGBW LEDs</t>
  </si>
  <si>
    <t xml:space="preserve">Cinemas and Control - LW Link Cable 100m (328 ft) Drum </t>
  </si>
  <si>
    <t>Cinemas and Control - Aura Panels - 2050mm x 550mm</t>
  </si>
  <si>
    <t>Cinemas and Control - RGBW 60/20 LEDs M 12V 5M - 300 LEDs (coffer)</t>
  </si>
  <si>
    <t xml:space="preserve">Cinemas and Control - DMX Artnet Interface (For interfacing of 3rd party DMX starscape ceiling) </t>
  </si>
  <si>
    <t xml:space="preserve">Cinemas and Control - LED Bars (Vertical) 2m </t>
  </si>
  <si>
    <t xml:space="preserve">Cinemas and Control - LED Bars (Vertical) 1m </t>
  </si>
  <si>
    <t xml:space="preserve">Cinemas and Control - LED Bar Ceiling (Projector Housing) 2m </t>
  </si>
  <si>
    <t xml:space="preserve">Cinemas and Control - Step LED RGBW 60/20 LEDs M 12V and Profile 8m </t>
  </si>
  <si>
    <t>Cinemas and Control - RGBW 60/20 LEDs M 12V 5M - 300 LEDs (Bar Shelves)</t>
  </si>
  <si>
    <t>Cinemas and Control - Reducing in size to 1800mm on2 x Aura panels</t>
  </si>
  <si>
    <t>Cinemas and Control - Movie image panel
1600mm x 1100mm
Depth 18mm</t>
  </si>
  <si>
    <t>INV-LW-1058</t>
  </si>
  <si>
    <t>Cinemas and Control - Artwork - Print ready file preparation</t>
  </si>
  <si>
    <t>Total Cinemas and Control</t>
  </si>
  <si>
    <t>Complete-ATS</t>
  </si>
  <si>
    <t>Complete-ATS - DHL Shippng Recharge - November</t>
  </si>
  <si>
    <t>INV-LW-1144</t>
  </si>
  <si>
    <t>Total Complete-ATS</t>
  </si>
  <si>
    <t>D&amp;MS</t>
  </si>
  <si>
    <t>D&amp;MS - Protopixel/Lightwalls Demonstration Case</t>
  </si>
  <si>
    <t>PO#103878</t>
  </si>
  <si>
    <t>Total D&amp;MS</t>
  </si>
  <si>
    <t>DaiSpark Ltd</t>
  </si>
  <si>
    <t>DaiSpark Ltd - Transaction fees reimbursed for ch_1Iak5QCRtEyavs3CxyVQPzDg</t>
  </si>
  <si>
    <t>ch_1Iak5QCRtEyavs3CxyVQPzDg</t>
  </si>
  <si>
    <t>DaiSpark Ltd - LW-PC-PP-NODE 
ProtoPixel Node</t>
  </si>
  <si>
    <t>Garage Test Kit</t>
  </si>
  <si>
    <t>DaiSpark Ltd - LW-PC-PP-MINICON-E 
ProtoPixel 1 Channel Ethernet Controller - 450 RGBW LEDs</t>
  </si>
  <si>
    <t>DaiSpark Ltd - LW-ES-MW-12V-350W 
Meanwell 12V - 350w (UHP-350-12) Power Supply</t>
  </si>
  <si>
    <t>DaiSpark Ltd - LW-LP-LED-12V-RGBW
5M Addressable LED Tape RGBW 60/20 LEDs M 12V</t>
  </si>
  <si>
    <t>Total DaiSpark Ltd</t>
  </si>
  <si>
    <t>Display Technologies Limited</t>
  </si>
  <si>
    <t>Payable Invoice</t>
  </si>
  <si>
    <t>Display Technologies Limited - Aluminium framework and manufacture for Joppa Road Project</t>
  </si>
  <si>
    <t>INV-0457</t>
  </si>
  <si>
    <t>Display Technologies Limited - Feb 2022</t>
  </si>
  <si>
    <t>INV-LW-1065</t>
  </si>
  <si>
    <t>Display Technologies Limited - DHL - March 22
As per attachment</t>
  </si>
  <si>
    <t>Display Technologies Limited - DHL April 22
As per Attachment</t>
  </si>
  <si>
    <t>Display Technologies Limited - May 2022</t>
  </si>
  <si>
    <t>Display Technologies Limited - June 2022</t>
  </si>
  <si>
    <t>Display Technologies Limited - July 2022</t>
  </si>
  <si>
    <t>Display Technologies Limited - August 2022</t>
  </si>
  <si>
    <t>Display Technologies Limited - September 2022</t>
  </si>
  <si>
    <t>Display Technologies Limited - shipping Recharge - November - DHL</t>
  </si>
  <si>
    <t>INV-LW-1098</t>
  </si>
  <si>
    <t>Display Technologies Limited - Shipping Recharge - Nov 22</t>
  </si>
  <si>
    <t>INV-LW-1107</t>
  </si>
  <si>
    <t>Display Technologies Limited - Shipping Recharge - Dec 22</t>
  </si>
  <si>
    <t>Display Technologies Limited - Shipping Recharge - Jan 23</t>
  </si>
  <si>
    <t>Display Technologies Limited - Recharge DHL Shipping - April 23</t>
  </si>
  <si>
    <t>INV-LW-1117</t>
  </si>
  <si>
    <t>Display Technologies Limited - Light Walls Sample Cass</t>
  </si>
  <si>
    <t>2147</t>
  </si>
  <si>
    <t>Display Technologies Limited - DHL Shipping Recharge - May 23</t>
  </si>
  <si>
    <t>INV-LW-1128</t>
  </si>
  <si>
    <t>Display Technologies Limited - DHL Shipping Recharge - June 23</t>
  </si>
  <si>
    <t>Display Technologies Limited - DHL Shipping Recharge - July 23</t>
  </si>
  <si>
    <t>Display Technologies Limited - DHL Shipping Recharge - August 23</t>
  </si>
  <si>
    <t>Display Technologies Limited - DHL Shipping Recharge - September</t>
  </si>
  <si>
    <t>INV-LW-1141</t>
  </si>
  <si>
    <t>Display Technologies Limited - DHL Shipping Recharge - October</t>
  </si>
  <si>
    <t>Total Display Technologies Limited</t>
  </si>
  <si>
    <t>Dzyn Ltd</t>
  </si>
  <si>
    <t>Dzyn Ltd - Demo Case Sold on LW website that was paid in to Dyzn Account (Stripe)</t>
  </si>
  <si>
    <t>INV-LW-1054</t>
  </si>
  <si>
    <t>Dzyn Ltd - Payment for Demo Case on LW Website that was paid in to Dzyn account (Stripe)</t>
  </si>
  <si>
    <t>INV-LW-1055</t>
  </si>
  <si>
    <t>Dzyn Ltd - Web Sale via Dzyn</t>
  </si>
  <si>
    <t>INV-LW-1084</t>
  </si>
  <si>
    <t>Total Dzyn Ltd</t>
  </si>
  <si>
    <t>Hugo Fitzjohn</t>
  </si>
  <si>
    <t>Hugo Fitzjohn - Test Fee</t>
  </si>
  <si>
    <t>Test Charge</t>
  </si>
  <si>
    <t>Hugo Fitzjohn - Transaction fees reimbursed for ch_1I8TgpCRtEyavs3CsHr7spvp</t>
  </si>
  <si>
    <t>ch_1I8TgpCRtEyavs3CsHr7spvp</t>
  </si>
  <si>
    <t>Total Hugo Fitzjohn</t>
  </si>
  <si>
    <t>INT3 Ltd</t>
  </si>
  <si>
    <t xml:space="preserve">INT3 Ltd - LW-LP-LED-5V-RGBW
RGBW 60/60 LEDs M 5V 5M - 300 LEDs
</t>
  </si>
  <si>
    <t>Stoke Park</t>
  </si>
  <si>
    <t>INT3 Ltd - LW-ES-LWLINK-100M
LW Link Cable 100m (328 ft) Drum</t>
  </si>
  <si>
    <t>INT3 Ltd - LW-CH-NODE
Protopixel Node</t>
  </si>
  <si>
    <t>INT3 Ltd - LW-CH-PP-LR8-SENDREC8
8 channel sender with 8 recievers - 8 x 450 RGBW LEDs</t>
  </si>
  <si>
    <t>INT3 Ltd - LW-PSU-MW-5V-350W</t>
  </si>
  <si>
    <t>INT3 Ltd - Barco Cinema Light Walls Supply and Instalation</t>
  </si>
  <si>
    <t>INV-LW-1091</t>
  </si>
  <si>
    <t>INT3 Ltd - June 2022</t>
  </si>
  <si>
    <t>INT3 Ltd - July 2022</t>
  </si>
  <si>
    <t>INT3 Ltd - August 2022</t>
  </si>
  <si>
    <t>INT3 Ltd - Spetember 2022</t>
  </si>
  <si>
    <t>INT3 Ltd - Shipping Recharge - Nov 22</t>
  </si>
  <si>
    <t>INV-LW-1108</t>
  </si>
  <si>
    <t>INT3 Ltd - Shipping Recharge - Dec 22</t>
  </si>
  <si>
    <t>INT3 Ltd - Shipping Recharge - Jan 23</t>
  </si>
  <si>
    <t>INT3 Ltd - Harker Hill LED - 1</t>
  </si>
  <si>
    <t>INV-LW-1136</t>
  </si>
  <si>
    <t>INT3 Ltd - Harker LED - 2</t>
  </si>
  <si>
    <t>INV-LW-1137</t>
  </si>
  <si>
    <t>INT3 Ltd - Recharge DHL Shipping - April 23</t>
  </si>
  <si>
    <t>INV-LW-1118</t>
  </si>
  <si>
    <t>INT3 Ltd - DHL Shipping Recharge - May 23</t>
  </si>
  <si>
    <t>INV-LW-1129</t>
  </si>
  <si>
    <t>INT3 Ltd - DHL Shipping Recharge - June 23</t>
  </si>
  <si>
    <t>INT3 Ltd - 
DHL Shipping Recharge - July 23</t>
  </si>
  <si>
    <t>INT3 Ltd - LED 12v pixel tape and profile.
Associated hardware - Node, LRCs, PSUs.
Power and data cabling</t>
  </si>
  <si>
    <t>INV-LW-1134</t>
  </si>
  <si>
    <t>INT3 Ltd - Cob LED</t>
  </si>
  <si>
    <t>INV-LW-1138</t>
  </si>
  <si>
    <t>INT3 Ltd - DHL Shipping Recharge - September</t>
  </si>
  <si>
    <t>INV-LW-1143</t>
  </si>
  <si>
    <t>INT3 Ltd - DHL Shipping Recharge - October</t>
  </si>
  <si>
    <t>INT3 Ltd - DHL Shipping Recharge - November</t>
  </si>
  <si>
    <t>INT3 Ltd - QAV LED Profiles</t>
  </si>
  <si>
    <t>INV-LW-1148</t>
  </si>
  <si>
    <t>Total INT3 Ltd</t>
  </si>
  <si>
    <t>Jay Singh</t>
  </si>
  <si>
    <t>Jay Singh - LW' Demo Case</t>
  </si>
  <si>
    <t>INV-LW-1050</t>
  </si>
  <si>
    <t>Jay Singh - Transaction fees reimbursed for ch_3KK0IDCRtEyavs3C17fs8Q2u</t>
  </si>
  <si>
    <t>ch_3KK0IDCRtEyavs3C17fs8Q2u</t>
  </si>
  <si>
    <t>Total Jay Singh</t>
  </si>
  <si>
    <t>Kingsted Audio Visual</t>
  </si>
  <si>
    <t>Kingsted Audio Visual - LW-LP-LED-12V-RGBW
RGBW 60/20 LEDs M 12V 5M - 300 LEDs</t>
  </si>
  <si>
    <t>QU-LW-1028</t>
  </si>
  <si>
    <t>Kingsted Audio Visual - LW-3535-SM-B-B-3
35mm x 35mm Surface Mount Profile - Black Anodised Profile - Black Diffusor up to 3m</t>
  </si>
  <si>
    <t>Kingsted Audio Visual - LW-CH-NODE
Protopixel Node</t>
  </si>
  <si>
    <t>Kingsted Audio Visual - LW-CH-PP-LR8-SENDREC8
8 channel sender with 8 recievers - 8 x 450 RGBW LEDs</t>
  </si>
  <si>
    <t>Kingsted Audio Visual - LW-CH-PP-LR8-RSHELF
Rack Shelf for ProtoPixel LR Sender - 2 Senders per 1U Rack Shelf</t>
  </si>
  <si>
    <t>Kingsted Audio Visual - LWCH-USB-VLIGHT
HDMI to USB vLight Interface</t>
  </si>
  <si>
    <t xml:space="preserve">Kingsted Audio Visual - LW-PSU-MW-12V-350W
Meanwell 12V - 350w (UHP-350-12)
</t>
  </si>
  <si>
    <t>Kingsted Audio Visual - LW-ES-LWLINK-100M
LW Link Cable 100m (328 ft) Drum</t>
  </si>
  <si>
    <t>Kingsted Audio Visual - LW-CH-ARTNET1
Artnet DMX Gateway - Single Output</t>
  </si>
  <si>
    <t>Kingsted Audio Visual - LW-ENG-SYSTEM-DESIGN
System Design and Schematic Layouts - CAD, PDF Output (Per Hour)</t>
  </si>
  <si>
    <t>Kingsted Audio Visual - 100mm Screen standoff with LED backlighting
Pixel LED Tape 14.4 Per/M 20Pixels per M 12v
For 160" 2.4:1 Aspect Screen Excellence Fixed Frame Screen</t>
  </si>
  <si>
    <t>INV-LW-1083</t>
  </si>
  <si>
    <t>Kingsted Audio Visual - Delivery</t>
  </si>
  <si>
    <t>Kingsted Audio Visual - LW-LP-LED-5V-RGBW
RGBW 60/60 LEDs M 5V 5M - 300 LEDs</t>
  </si>
  <si>
    <t>QU-LW-1032</t>
  </si>
  <si>
    <t>Kingsted Audio Visual - LW-PSU-MW-5V-200W
Meanwell 5V - 200w (UHP-200-5)</t>
  </si>
  <si>
    <t>Kingsted Audio Visual - LW-PSU-MW-12V-350W
Meanwell 12V - 350w (UHP-350-12)</t>
  </si>
  <si>
    <t>Kingsted Audio Visual - LW-CH-PP-LR8-SENDREC8
8 channel sender with 8 receivers - 8 x 450 RGBW LEDs</t>
  </si>
  <si>
    <t>Kingsted Audio Visual - 1500mm x 1000mm printed Movie art posters with halo pixel LED edge lighting. To Include:
LW-LP-LED-5V-RGBW
Meanwell 5V - 200w (UHP-200-5)</t>
  </si>
  <si>
    <t>Kingsted Audio Visual - LW-CH-DUO
Duo LED Controller - Ethernet&amp; WIFI</t>
  </si>
  <si>
    <t>Kingsted Audio Visual - LW-LP-LED-12V-RGBW
RGBW 60/20 LEDs M 12V 5M - 300 LEDs</t>
  </si>
  <si>
    <t>INV-LW-1125</t>
  </si>
  <si>
    <t>Total Kingsted Audio Visual</t>
  </si>
  <si>
    <t>New Wave AV</t>
  </si>
  <si>
    <t>New Wave AV - LW-3535-SM-B-B-3
35mm x 35mm Surface Mount Profile - Black Anodised Profile - Black Diffusor up to 3m</t>
  </si>
  <si>
    <t>PO7557</t>
  </si>
  <si>
    <t>New Wave AV - LW-LP-LED-12V-RGBW
RGBW 60/20 LEDs M 12V 5M - 300 LEDs</t>
  </si>
  <si>
    <t>New Wave AV - LW-PSU-MW-12V-200W
Meanwell 12V - 200w (UHP-200-12)</t>
  </si>
  <si>
    <t>New Wave AV - LW-CH-NODE
Protopixel Node</t>
  </si>
  <si>
    <t>New Wave AV - LW-CH-PP-LR8-SENDREC8
8 channel sender with 8 recievers - 8 x 450 RGBW LEDs</t>
  </si>
  <si>
    <t>New Wave AV - LW-ES-LWLINK-100M
LW Link Cable 100m (328 ft) Drum</t>
  </si>
  <si>
    <t>New Wave AV - LWCH-USB-VLIGHT
HDMI to USB vLight Interface</t>
  </si>
  <si>
    <t>New Wave AV - LW-ENG-SYSTEM-DESIGN
System Design and Schematic Layouts - CAD, PDF Output (Per Hour)</t>
  </si>
  <si>
    <t>New Wave AV - LW-3535-SM-B-B-2
35mm x 35mm Surface Mount Profile - Black Anodised Profile - Black Diffusor up to 2m</t>
  </si>
  <si>
    <t>PO7598</t>
  </si>
  <si>
    <t>PO-7612</t>
  </si>
  <si>
    <t>Total New Wave AV</t>
  </si>
  <si>
    <t>ProtoPixel SL</t>
  </si>
  <si>
    <t>ProtoPixel - Long Range Case -
Case inc.:
LED light pipe - Installed case end
Front and Back label printed and applied
RJ45 Panel Mount - Installed
Screws and Hardware</t>
  </si>
  <si>
    <t>INV-LW-1003</t>
  </si>
  <si>
    <t>ProtoPixel - Mount Plates</t>
  </si>
  <si>
    <t>ProtoPixel - Rack Shelf</t>
  </si>
  <si>
    <t>ProtoPixel - Rack Blank</t>
  </si>
  <si>
    <t>ProtoPixel - Packing and Shipping</t>
  </si>
  <si>
    <t>ProtoPixel - Transaction fees reimbursed for ch_1IBjnwCRtEyavs3Cvc4X3dPy</t>
  </si>
  <si>
    <t>ch_1IBjnwCRtEyavs3Cvc4X3dPy</t>
  </si>
  <si>
    <t xml:space="preserve">ProtoPixel SL - ProtoPixel Node (Demo)
</t>
  </si>
  <si>
    <t>A-484</t>
  </si>
  <si>
    <t>EUR</t>
  </si>
  <si>
    <t xml:space="preserve">ProtoPixel SL - ProtoPixel Mini Controller - WiFi (Demo)
</t>
  </si>
  <si>
    <t>ProtoPixel - Protopixel-Light Walls Demonstrator Cases
HS Code: 854210000
Country of Origin UK</t>
  </si>
  <si>
    <t>PO-15</t>
  </si>
  <si>
    <t>ProtoPixel - Own supplied PPixel Node and 1 Channel Controller</t>
  </si>
  <si>
    <t>ProtoPixel - Shipping - DHL - 5533208516</t>
  </si>
  <si>
    <t>ProtoPixel SL - Demonstration kits (excluding ProtoPixel Hardware)
HS Code: 8542100000
Product of UK
EX Works UK</t>
  </si>
  <si>
    <t>PO394</t>
  </si>
  <si>
    <t xml:space="preserve">ProtoPixel SL - Demonstration kits (excluding ProtoPixel Hardware)
HS Code: 8542100000
Product of UK
</t>
  </si>
  <si>
    <t>ProtoPixel SL - Delivery - DHL Pre 12</t>
  </si>
  <si>
    <t>Total ProtoPixel SL</t>
  </si>
  <si>
    <t>Qube Integration</t>
  </si>
  <si>
    <t xml:space="preserve">Qube Integration - Protopixel Node
ProtoPixel Node the heart of the ProtoPixel system </t>
  </si>
  <si>
    <t>INV-LW-1033</t>
  </si>
  <si>
    <t xml:space="preserve">Qube Integration - ProtoPixel Mini Controller - Ethernet
The Mini Controller can control up to 450 RGBW LED Pixels </t>
  </si>
  <si>
    <t xml:space="preserve">Qube Integration - LED 12V RGBW - Addressable LED 5m
RGBW Addressable Tape 
60 LEDs per Meter, 20 Pixels Per Meter
20 Watts per Meter - 5m reel
</t>
  </si>
  <si>
    <t>Qube Integration - 12V - 200Watt Power Supply
Meanwell 12V - 200w (UHP-200-12) - Slim form factor fanless power supply</t>
  </si>
  <si>
    <t>Qube Integration - Transaction fees reimbursed for ch_3JUuFfCRtEyavs3C0E0DyKtd</t>
  </si>
  <si>
    <t>ch_3JUuFfCRtEyavs3C0E0DyKtd</t>
  </si>
  <si>
    <t>Total Qube Integration</t>
  </si>
  <si>
    <t>R.M.C. London Ltd</t>
  </si>
  <si>
    <t>R.M.C. London Ltd - ProtoPixel Node system controller</t>
  </si>
  <si>
    <t>Demo Cinema</t>
  </si>
  <si>
    <t>R.M.C. London Ltd - Phantom LED Side Wall Panels with Bar logos</t>
  </si>
  <si>
    <t>R.M.C. London Ltd - Phantom LED Rear Wall Panel with Reverb Logo</t>
  </si>
  <si>
    <t>Total R.M.C. London Ltd</t>
  </si>
  <si>
    <t>Smart Living Designs Ltd</t>
  </si>
  <si>
    <t>Smart Living Designs Ltd - Transaction fees reimbursed for ch_1IQxodCRtEyavs3CxzbnSnN5</t>
  </si>
  <si>
    <t>ch_1IQxodCRtEyavs3CxzbnSnN5</t>
  </si>
  <si>
    <t>Smart Living Designs Ltd - LW-PC-PP-MINICON-E</t>
  </si>
  <si>
    <t>ProtoPixel Test Kit</t>
  </si>
  <si>
    <t>Smart Living Designs Ltd - LW-LP-LED-5V-RGBW</t>
  </si>
  <si>
    <t>Total Smart Living Designs Ltd</t>
  </si>
  <si>
    <t>SMC</t>
  </si>
  <si>
    <t>SMC - Proof of concept textured translucent acrylic polymer test panel
Approximate dimensions  230mm x 690mm. 
Includes Matrix of 507 RGBW pixels at 17mm pixel pitch
5V PSU
ProtoPixel Mini WiFi controller loaded with demo content</t>
  </si>
  <si>
    <t>Outdoor Matrix Panel Test</t>
  </si>
  <si>
    <t>Total SMC</t>
  </si>
  <si>
    <t>SRND Group Ltd</t>
  </si>
  <si>
    <t>SRND Group Ltd - Rent re-charge Unit 2B and management services up to 30th June 2025</t>
  </si>
  <si>
    <t>INV-LW-1154</t>
  </si>
  <si>
    <t>Total SRND Group Ltd</t>
  </si>
  <si>
    <t>UNKNOWN_CONTACT</t>
  </si>
  <si>
    <t>Total UNKNOWN_CONTACT</t>
  </si>
  <si>
    <t>Wakefields Smarter Home Technology ltd</t>
  </si>
  <si>
    <t xml:space="preserve">Wakefields Smarter Home Technology ltd - ProtoPixel Node
ProtoPixel Node the heart of the ProtoPixel system </t>
  </si>
  <si>
    <t>Harker Hill Cinema</t>
  </si>
  <si>
    <t xml:space="preserve">Wakefields Smarter Home Technology ltd - ProtoPixel Long Range Controller
Long range controller with 8 remote receivers each capable of controlling up to 450RGBW Pixels </t>
  </si>
  <si>
    <t>Wakefields Smarter Home Technology ltd - Equipment Rack Shelf Shelves</t>
  </si>
  <si>
    <t>Wakefields Smarter Home Technology ltd - vLight Interface
The vLight interface unlocks the potential of HDMI sources allowing them to be trigger and source of immersive and dynamic lighting content.</t>
  </si>
  <si>
    <t>Wakefields Smarter Home Technology ltd - LW Link Cable 100m 
100m (328 ft) Drum of cable to Link the ProtoPixel Long Range Controller to their receivers</t>
  </si>
  <si>
    <t>Wakefields Smarter Home Technology ltd - Side Wall Panels
Louvered effect side wall panel Pre-built offsite with acoustic fabric covering. each louver will have RGBW louver back wash, PSU's included.
Priced per m2</t>
  </si>
  <si>
    <t>Wakefields Smarter Home Technology ltd - Screen Wall Panel build out panel
Pre build panel build out to suit DT Frontier screen with RGBW halo back wash</t>
  </si>
  <si>
    <t>Wakefields Smarter Home Technology ltd - RGBW coffer LED with PSU's
RGBW LED ceiling wash</t>
  </si>
  <si>
    <t>Wakefields Smarter Home Technology ltd - Custom Aluminium Frame 
Custom Aluminium frame with speaker supports, Fabric cover and LED recessed profile with grey diffusor. Inc RGBW led and PSU</t>
  </si>
  <si>
    <t>Wakefields Smarter Home Technology ltd - Engineering Fee
System engineering fee per day</t>
  </si>
  <si>
    <t>Wakefields Smarter Home Technology ltd - Interior Design</t>
  </si>
  <si>
    <t>Wakefields Smarter Home Technology ltd - Harker Hill Hypercave First Fix Installation</t>
  </si>
  <si>
    <t>INV-LW-1072</t>
  </si>
  <si>
    <t>Total Wakefields Smarter Home Technology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</si>
</sst>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 mmm yyyy"/>
    <numFmt numFmtId="165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164" fontId="0" fillId="0" borderId="0" xfId="0" applyNumberFormat="true" applyFont="true" applyAlignment="true">
      <alignment horizontal="left" vertical="center"/>
    </xf>
    <xf numFmtId="0" fontId="0" fillId="0" borderId="0" xfId="0" applyFont="true" applyAlignment="true">
      <alignment vertical="center"/>
    </xf>
    <xf numFmtId="165" fontId="0" fillId="0" borderId="0" xfId="0" applyNumberFormat="true" applyFont="true" applyAlignment="true">
      <alignment horizontal="right" vertical="center"/>
    </xf>
    <xf numFmtId="164" fontId="0" fillId="0" borderId="2" xfId="0" applyNumberFormat="true" applyFont="true" applyBorder="true" applyAlignment="true">
      <alignment horizontal="left" vertical="center"/>
    </xf>
    <xf numFmtId="0" fontId="0" fillId="0" borderId="2" xfId="0" applyFont="true" applyBorder="true" applyAlignment="true">
      <alignment vertical="center"/>
    </xf>
    <xf numFmtId="165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5" fontId="6" fillId="0" borderId="2" xfId="0" applyNumberFormat="true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2" xfId="0" applyFont="true" applyBorder="true" applyAlignment="true">
      <alignment vertical="center" wrapText="true"/>
    </xf>
    <xf numFmtId="0" fontId="0" fillId="0" borderId="0" xfId="0" applyFont="true" applyAlignment="true">
      <alignment vertical="center" wrapText="true"/>
    </xf>
    <xf numFmtId="0" fontId="6" fillId="2" borderId="3" xfId="0" applyFont="true" applyFill="true" applyBorder="true" applyAlignment="true">
      <alignment vertical="center"/>
    </xf>
    <xf numFmtId="165" fontId="6" fillId="2" borderId="3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J504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46.33203125" customWidth="1"/>
    <col min="2" max="2" width="22" customWidth="1"/>
    <col min="3" max="3" width="100" customWidth="1"/>
    <col min="4" max="4" width="35.16015625" customWidth="1"/>
    <col min="5" max="5" width="11.33203125" customWidth="1"/>
    <col min="6" max="6" width="16.5" customWidth="1"/>
    <col min="7" max="7" width="17.5" customWidth="1"/>
    <col min="8" max="8" width="14.33203125" customWidth="1"/>
    <col min="9" max="9" width="15.33203125" customWidth="1"/>
    <col min="10" max="10" width="21.160156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6" t="s">
        <v>12</v>
      </c>
    </row>
    <row r="6" ht="10.95" customHeight="true" customFormat="true" s="8">
      <c r="A6" s="9">
        <v>44742</v>
      </c>
      <c r="B6" s="10" t="s">
        <v>13</v>
      </c>
      <c r="C6" s="10" t="s">
        <v>14</v>
      </c>
      <c r="D6" s="10" t="s">
        <v>15</v>
      </c>
      <c r="E6" s="10" t="s">
        <v>16</v>
      </c>
      <c r="F6" s="11">
        <v>0</v>
      </c>
      <c r="G6" s="11">
        <v>14600.0000</v>
      </c>
      <c r="H6" s="11">
        <v>0</v>
      </c>
      <c r="I6" s="11">
        <v>14600.0000</v>
      </c>
      <c r="J6" s="10" t="s">
        <v>17</v>
      </c>
    </row>
    <row r="7" ht="10.95" customHeight="true" customFormat="true" s="8">
      <c r="A7" s="12">
        <v>44743</v>
      </c>
      <c r="B7" s="13" t="s">
        <v>13</v>
      </c>
      <c r="C7" s="13" t="s">
        <v>18</v>
      </c>
      <c r="D7" s="13" t="s">
        <v>19</v>
      </c>
      <c r="E7" s="13" t="s">
        <v>16</v>
      </c>
      <c r="F7" s="14">
        <v>14600.0000</v>
      </c>
      <c r="G7" s="14">
        <v>0</v>
      </c>
      <c r="H7" s="14">
        <v>14600.0000</v>
      </c>
      <c r="I7" s="14">
        <v>0</v>
      </c>
      <c r="J7" s="13" t="s">
        <v>17</v>
      </c>
    </row>
    <row r="8" ht="10.95" customHeight="true" customFormat="true" s="8">
      <c r="A8" s="12">
        <v>44895</v>
      </c>
      <c r="B8" s="13" t="s">
        <v>13</v>
      </c>
      <c r="C8" s="13" t="s">
        <v>20</v>
      </c>
      <c r="D8" s="13" t="s">
        <v>21</v>
      </c>
      <c r="E8" s="13" t="s">
        <v>16</v>
      </c>
      <c r="F8" s="14">
        <v>0</v>
      </c>
      <c r="G8" s="14">
        <v>6000.0000</v>
      </c>
      <c r="H8" s="14">
        <v>0</v>
      </c>
      <c r="I8" s="14">
        <v>6000.0000</v>
      </c>
      <c r="J8" s="13" t="s">
        <v>22</v>
      </c>
    </row>
    <row r="9" ht="10.95" customHeight="true" customFormat="true" s="8">
      <c r="A9" s="12">
        <v>45107</v>
      </c>
      <c r="B9" s="13" t="s">
        <v>13</v>
      </c>
      <c r="C9" s="13" t="s">
        <v>23</v>
      </c>
      <c r="D9" s="13" t="s">
        <v>24</v>
      </c>
      <c r="E9" s="13" t="s">
        <v>16</v>
      </c>
      <c r="F9" s="14">
        <v>0</v>
      </c>
      <c r="G9" s="14">
        <v>29750.0000</v>
      </c>
      <c r="H9" s="14">
        <v>0</v>
      </c>
      <c r="I9" s="14">
        <v>29750.0000</v>
      </c>
      <c r="J9" s="13" t="s">
        <v>22</v>
      </c>
    </row>
    <row r="10" ht="10.95" customHeight="true" customFormat="true" s="8">
      <c r="A10" s="12">
        <v>45108</v>
      </c>
      <c r="B10" s="13" t="s">
        <v>13</v>
      </c>
      <c r="C10" s="13" t="s">
        <v>25</v>
      </c>
      <c r="D10" s="13" t="s">
        <v>26</v>
      </c>
      <c r="E10" s="13" t="s">
        <v>16</v>
      </c>
      <c r="F10" s="14">
        <v>35750.0000</v>
      </c>
      <c r="G10" s="14">
        <v>0</v>
      </c>
      <c r="H10" s="14">
        <v>35750.0000</v>
      </c>
      <c r="I10" s="14">
        <v>0</v>
      </c>
      <c r="J10" s="13" t="s">
        <v>22</v>
      </c>
    </row>
    <row r="11" ht="10.95" customHeight="true" customFormat="true" s="8">
      <c r="A11" s="12">
        <v>45444</v>
      </c>
      <c r="B11" s="13" t="s">
        <v>13</v>
      </c>
      <c r="C11" s="13" t="s">
        <v>27</v>
      </c>
      <c r="D11" s="13" t="s">
        <v>28</v>
      </c>
      <c r="E11" s="13" t="s">
        <v>16</v>
      </c>
      <c r="F11" s="14">
        <v>0</v>
      </c>
      <c r="G11" s="14">
        <v>35750.0000</v>
      </c>
      <c r="H11" s="14">
        <v>0</v>
      </c>
      <c r="I11" s="14">
        <v>35750.0000</v>
      </c>
      <c r="J11" s="13" t="s">
        <v>22</v>
      </c>
    </row>
    <row r="12" ht="10.95" customHeight="true" customFormat="true" s="8">
      <c r="A12" s="12">
        <v>45838</v>
      </c>
      <c r="B12" s="13" t="s">
        <v>13</v>
      </c>
      <c r="C12" s="13" t="s">
        <v>29</v>
      </c>
      <c r="D12" s="13" t="s">
        <v>30</v>
      </c>
      <c r="E12" s="13" t="s">
        <v>16</v>
      </c>
      <c r="F12" s="14">
        <v>14855.0100</v>
      </c>
      <c r="G12" s="14">
        <v>0</v>
      </c>
      <c r="H12" s="14">
        <v>14855.0100</v>
      </c>
      <c r="I12" s="14">
        <v>0</v>
      </c>
      <c r="J12" s="13" t="s">
        <v>31</v>
      </c>
    </row>
    <row r="13" ht="10.95" customHeight="true" customFormat="true" s="8">
      <c r="A13" s="12">
        <v>45838</v>
      </c>
      <c r="B13" s="13" t="s">
        <v>13</v>
      </c>
      <c r="C13" s="13" t="s">
        <v>29</v>
      </c>
      <c r="D13" s="13" t="s">
        <v>30</v>
      </c>
      <c r="E13" s="13" t="s">
        <v>16</v>
      </c>
      <c r="F13" s="14">
        <v>0</v>
      </c>
      <c r="G13" s="14">
        <v>18463.0000</v>
      </c>
      <c r="H13" s="14">
        <v>0</v>
      </c>
      <c r="I13" s="14">
        <v>18463.0000</v>
      </c>
      <c r="J13" s="13" t="s">
        <v>31</v>
      </c>
    </row>
    <row r="14" ht="10.95" customHeight="true" customFormat="true" s="8">
      <c r="A14" s="12">
        <v>45839</v>
      </c>
      <c r="B14" s="13" t="s">
        <v>13</v>
      </c>
      <c r="C14" s="13" t="s">
        <v>32</v>
      </c>
      <c r="D14" s="13" t="s">
        <v>33</v>
      </c>
      <c r="E14" s="13" t="s">
        <v>16</v>
      </c>
      <c r="F14" s="14">
        <v>18463.0000</v>
      </c>
      <c r="G14" s="14">
        <v>0</v>
      </c>
      <c r="H14" s="14">
        <v>18463.0000</v>
      </c>
      <c r="I14" s="14">
        <v>0</v>
      </c>
      <c r="J14" s="13" t="s">
        <v>31</v>
      </c>
    </row>
    <row r="15" ht="10.95" customHeight="true" customFormat="true" s="8">
      <c r="A15" s="15" t="s">
        <v>34</v>
      </c>
      <c r="B15" s="15"/>
      <c r="C15" s="15"/>
      <c r="D15" s="15"/>
      <c r="E15" s="15"/>
      <c r="F15" s="16">
        <f ca="1">SUM(F6:F14)</f>
        <v>0</v>
      </c>
      <c r="G15" s="16">
        <f ca="1">SUM(G6:G14)</f>
        <v>0</v>
      </c>
      <c r="H15" s="16">
        <f ca="1">SUM(H6:H14)</f>
        <v>0</v>
      </c>
      <c r="I15" s="16">
        <f ca="1">SUM(I6:I14)</f>
        <v>0</v>
      </c>
      <c r="J15" s="15"/>
    </row>
    <row r="16" ht="13.35" customHeight="true"/>
    <row r="17" ht="12.1" customHeight="true" customFormat="true" s="5">
      <c r="A17" s="17" t="s">
        <v>35</v>
      </c>
      <c r="B17" s="17"/>
      <c r="C17" s="17"/>
      <c r="D17" s="17"/>
      <c r="E17" s="17"/>
      <c r="F17" s="17"/>
      <c r="G17" s="17"/>
      <c r="H17" s="17"/>
      <c r="I17" s="17"/>
      <c r="J17" s="17"/>
    </row>
    <row r="18" ht="10.95" customHeight="true" customFormat="true" s="8">
      <c r="A18" s="9">
        <v>44356</v>
      </c>
      <c r="B18" s="10" t="s">
        <v>36</v>
      </c>
      <c r="C18" s="10" t="s">
        <v>37</v>
      </c>
      <c r="D18" s="10" t="s">
        <v>38</v>
      </c>
      <c r="E18" s="10" t="s">
        <v>16</v>
      </c>
      <c r="F18" s="11">
        <v>0</v>
      </c>
      <c r="G18" s="11">
        <v>877.5000</v>
      </c>
      <c r="H18" s="11">
        <v>0</v>
      </c>
      <c r="I18" s="11">
        <v>877.5000</v>
      </c>
      <c r="J18" s="10" t="s">
        <v>31</v>
      </c>
    </row>
    <row r="19" ht="10.95" customHeight="true" customFormat="true" s="8">
      <c r="A19" s="12">
        <v>44356</v>
      </c>
      <c r="B19" s="13" t="s">
        <v>36</v>
      </c>
      <c r="C19" s="13" t="s">
        <v>39</v>
      </c>
      <c r="D19" s="13" t="s">
        <v>38</v>
      </c>
      <c r="E19" s="13" t="s">
        <v>16</v>
      </c>
      <c r="F19" s="14">
        <v>0</v>
      </c>
      <c r="G19" s="14">
        <v>100.0000</v>
      </c>
      <c r="H19" s="14">
        <v>0</v>
      </c>
      <c r="I19" s="14">
        <v>100.0000</v>
      </c>
      <c r="J19" s="13" t="s">
        <v>40</v>
      </c>
    </row>
    <row r="20" ht="10.95" customHeight="true" customFormat="true" s="8">
      <c r="A20" s="12">
        <v>44356</v>
      </c>
      <c r="B20" s="13" t="s">
        <v>36</v>
      </c>
      <c r="C20" s="13" t="s">
        <v>41</v>
      </c>
      <c r="D20" s="13" t="s">
        <v>38</v>
      </c>
      <c r="E20" s="13" t="s">
        <v>16</v>
      </c>
      <c r="F20" s="14">
        <v>0</v>
      </c>
      <c r="G20" s="14">
        <v>525.0000</v>
      </c>
      <c r="H20" s="14">
        <v>0</v>
      </c>
      <c r="I20" s="14">
        <v>525.0000</v>
      </c>
      <c r="J20" s="13" t="s">
        <v>40</v>
      </c>
    </row>
    <row r="21" ht="10.95" customHeight="true" customFormat="true" s="8">
      <c r="A21" s="12">
        <v>44356</v>
      </c>
      <c r="B21" s="13" t="s">
        <v>36</v>
      </c>
      <c r="C21" s="13" t="s">
        <v>42</v>
      </c>
      <c r="D21" s="13" t="s">
        <v>38</v>
      </c>
      <c r="E21" s="13" t="s">
        <v>16</v>
      </c>
      <c r="F21" s="14">
        <v>0</v>
      </c>
      <c r="G21" s="14">
        <v>245.8000</v>
      </c>
      <c r="H21" s="14">
        <v>0</v>
      </c>
      <c r="I21" s="14">
        <v>245.8000</v>
      </c>
      <c r="J21" s="13" t="s">
        <v>17</v>
      </c>
    </row>
    <row r="22" ht="10.95" customHeight="true" customFormat="true" s="8">
      <c r="A22" s="12">
        <v>44356</v>
      </c>
      <c r="B22" s="13" t="s">
        <v>36</v>
      </c>
      <c r="C22" s="13" t="s">
        <v>43</v>
      </c>
      <c r="D22" s="13" t="s">
        <v>38</v>
      </c>
      <c r="E22" s="13" t="s">
        <v>16</v>
      </c>
      <c r="F22" s="14">
        <v>0</v>
      </c>
      <c r="G22" s="14">
        <v>89.7200</v>
      </c>
      <c r="H22" s="14">
        <v>0</v>
      </c>
      <c r="I22" s="14">
        <v>89.7200</v>
      </c>
      <c r="J22" s="13" t="s">
        <v>17</v>
      </c>
    </row>
    <row r="23" ht="10.95" customHeight="true" customFormat="true" s="8">
      <c r="A23" s="12">
        <v>44356</v>
      </c>
      <c r="B23" s="13" t="s">
        <v>36</v>
      </c>
      <c r="C23" s="13" t="s">
        <v>44</v>
      </c>
      <c r="D23" s="13" t="s">
        <v>38</v>
      </c>
      <c r="E23" s="13" t="s">
        <v>16</v>
      </c>
      <c r="F23" s="14">
        <v>0</v>
      </c>
      <c r="G23" s="14">
        <v>466.7600</v>
      </c>
      <c r="H23" s="14">
        <v>0</v>
      </c>
      <c r="I23" s="14">
        <v>466.7600</v>
      </c>
      <c r="J23" s="13" t="s">
        <v>40</v>
      </c>
    </row>
    <row r="24" ht="21.3" customHeight="true" customFormat="true" s="8">
      <c r="A24" s="12">
        <v>44356</v>
      </c>
      <c r="B24" s="13" t="s">
        <v>36</v>
      </c>
      <c r="C24" s="18" t="s">
        <v>45</v>
      </c>
      <c r="D24" s="13" t="s">
        <v>38</v>
      </c>
      <c r="E24" s="13" t="s">
        <v>16</v>
      </c>
      <c r="F24" s="14">
        <v>0</v>
      </c>
      <c r="G24" s="14">
        <v>1142.8600</v>
      </c>
      <c r="H24" s="14">
        <v>0</v>
      </c>
      <c r="I24" s="14">
        <v>1142.8600</v>
      </c>
      <c r="J24" s="13" t="s">
        <v>31</v>
      </c>
    </row>
    <row r="25" ht="10.95" customHeight="true" customFormat="true" s="8">
      <c r="A25" s="12">
        <v>44508</v>
      </c>
      <c r="B25" s="13" t="s">
        <v>36</v>
      </c>
      <c r="C25" s="13" t="s">
        <v>37</v>
      </c>
      <c r="D25" s="13" t="s">
        <v>46</v>
      </c>
      <c r="E25" s="13" t="s">
        <v>16</v>
      </c>
      <c r="F25" s="14">
        <v>0</v>
      </c>
      <c r="G25" s="14">
        <v>742.8600</v>
      </c>
      <c r="H25" s="14">
        <v>0</v>
      </c>
      <c r="I25" s="14">
        <v>742.8600</v>
      </c>
      <c r="J25" s="13" t="s">
        <v>31</v>
      </c>
    </row>
    <row r="26" ht="10.95" customHeight="true" customFormat="true" s="8">
      <c r="A26" s="12">
        <v>44508</v>
      </c>
      <c r="B26" s="13" t="s">
        <v>36</v>
      </c>
      <c r="C26" s="13" t="s">
        <v>47</v>
      </c>
      <c r="D26" s="13" t="s">
        <v>46</v>
      </c>
      <c r="E26" s="13" t="s">
        <v>16</v>
      </c>
      <c r="F26" s="14">
        <v>0</v>
      </c>
      <c r="G26" s="14">
        <v>45.7100</v>
      </c>
      <c r="H26" s="14">
        <v>0</v>
      </c>
      <c r="I26" s="14">
        <v>45.7100</v>
      </c>
      <c r="J26" s="13" t="s">
        <v>31</v>
      </c>
    </row>
    <row r="27" ht="10.95" customHeight="true" customFormat="true" s="8">
      <c r="A27" s="12">
        <v>44508</v>
      </c>
      <c r="B27" s="13" t="s">
        <v>36</v>
      </c>
      <c r="C27" s="13" t="s">
        <v>39</v>
      </c>
      <c r="D27" s="13" t="s">
        <v>46</v>
      </c>
      <c r="E27" s="13" t="s">
        <v>16</v>
      </c>
      <c r="F27" s="14">
        <v>0</v>
      </c>
      <c r="G27" s="14">
        <v>128.0000</v>
      </c>
      <c r="H27" s="14">
        <v>0</v>
      </c>
      <c r="I27" s="14">
        <v>128.0000</v>
      </c>
      <c r="J27" s="13" t="s">
        <v>40</v>
      </c>
    </row>
    <row r="28" ht="31.65" customHeight="true" customFormat="true" s="8">
      <c r="A28" s="12">
        <v>44508</v>
      </c>
      <c r="B28" s="13" t="s">
        <v>36</v>
      </c>
      <c r="C28" s="18" t="s">
        <v>48</v>
      </c>
      <c r="D28" s="13" t="s">
        <v>46</v>
      </c>
      <c r="E28" s="13" t="s">
        <v>16</v>
      </c>
      <c r="F28" s="14">
        <v>0</v>
      </c>
      <c r="G28" s="14">
        <v>1828.5800</v>
      </c>
      <c r="H28" s="14">
        <v>0</v>
      </c>
      <c r="I28" s="14">
        <v>1828.5800</v>
      </c>
      <c r="J28" s="13" t="s">
        <v>31</v>
      </c>
    </row>
    <row r="29" ht="10.95" customHeight="true" customFormat="true" s="8">
      <c r="A29" s="12">
        <v>44508</v>
      </c>
      <c r="B29" s="13" t="s">
        <v>36</v>
      </c>
      <c r="C29" s="13" t="s">
        <v>49</v>
      </c>
      <c r="D29" s="13" t="s">
        <v>46</v>
      </c>
      <c r="E29" s="13" t="s">
        <v>16</v>
      </c>
      <c r="F29" s="14">
        <v>0</v>
      </c>
      <c r="G29" s="14">
        <v>45.7200</v>
      </c>
      <c r="H29" s="14">
        <v>0</v>
      </c>
      <c r="I29" s="14">
        <v>45.7200</v>
      </c>
      <c r="J29" s="13" t="s">
        <v>40</v>
      </c>
    </row>
    <row r="30" ht="10.95" customHeight="true" customFormat="true" s="8">
      <c r="A30" s="12">
        <v>44508</v>
      </c>
      <c r="B30" s="13" t="s">
        <v>36</v>
      </c>
      <c r="C30" s="13" t="s">
        <v>41</v>
      </c>
      <c r="D30" s="13" t="s">
        <v>46</v>
      </c>
      <c r="E30" s="13" t="s">
        <v>16</v>
      </c>
      <c r="F30" s="14">
        <v>0</v>
      </c>
      <c r="G30" s="14">
        <v>2880.0000</v>
      </c>
      <c r="H30" s="14">
        <v>0</v>
      </c>
      <c r="I30" s="14">
        <v>2880.0000</v>
      </c>
      <c r="J30" s="13" t="s">
        <v>40</v>
      </c>
    </row>
    <row r="31" ht="10.95" customHeight="true" customFormat="true" s="8">
      <c r="A31" s="12">
        <v>44508</v>
      </c>
      <c r="B31" s="13" t="s">
        <v>36</v>
      </c>
      <c r="C31" s="13" t="s">
        <v>50</v>
      </c>
      <c r="D31" s="13" t="s">
        <v>46</v>
      </c>
      <c r="E31" s="13" t="s">
        <v>16</v>
      </c>
      <c r="F31" s="14">
        <v>0</v>
      </c>
      <c r="G31" s="14">
        <v>983.2800</v>
      </c>
      <c r="H31" s="14">
        <v>0</v>
      </c>
      <c r="I31" s="14">
        <v>983.2800</v>
      </c>
      <c r="J31" s="13" t="s">
        <v>40</v>
      </c>
    </row>
    <row r="32" ht="10.95" customHeight="true" customFormat="true" s="8">
      <c r="A32" s="12">
        <v>44508</v>
      </c>
      <c r="B32" s="13" t="s">
        <v>36</v>
      </c>
      <c r="C32" s="13" t="s">
        <v>51</v>
      </c>
      <c r="D32" s="13" t="s">
        <v>46</v>
      </c>
      <c r="E32" s="13" t="s">
        <v>16</v>
      </c>
      <c r="F32" s="14">
        <v>0</v>
      </c>
      <c r="G32" s="14">
        <v>160.0000</v>
      </c>
      <c r="H32" s="14">
        <v>0</v>
      </c>
      <c r="I32" s="14">
        <v>160.0000</v>
      </c>
      <c r="J32" s="13" t="s">
        <v>40</v>
      </c>
    </row>
    <row r="33" ht="10.95" customHeight="true" customFormat="true" s="8">
      <c r="A33" s="12">
        <v>44508</v>
      </c>
      <c r="B33" s="13" t="s">
        <v>36</v>
      </c>
      <c r="C33" s="13" t="s">
        <v>52</v>
      </c>
      <c r="D33" s="13" t="s">
        <v>46</v>
      </c>
      <c r="E33" s="13" t="s">
        <v>16</v>
      </c>
      <c r="F33" s="14">
        <v>0</v>
      </c>
      <c r="G33" s="14">
        <v>1243.5800</v>
      </c>
      <c r="H33" s="14">
        <v>0</v>
      </c>
      <c r="I33" s="14">
        <v>1243.5800</v>
      </c>
      <c r="J33" s="13" t="s">
        <v>40</v>
      </c>
    </row>
    <row r="34" ht="10.95" customHeight="true" customFormat="true" s="8">
      <c r="A34" s="12">
        <v>44508</v>
      </c>
      <c r="B34" s="13" t="s">
        <v>36</v>
      </c>
      <c r="C34" s="13" t="s">
        <v>53</v>
      </c>
      <c r="D34" s="13" t="s">
        <v>46</v>
      </c>
      <c r="E34" s="13" t="s">
        <v>16</v>
      </c>
      <c r="F34" s="14">
        <v>0</v>
      </c>
      <c r="G34" s="14">
        <v>773.1700</v>
      </c>
      <c r="H34" s="14">
        <v>0</v>
      </c>
      <c r="I34" s="14">
        <v>773.1700</v>
      </c>
      <c r="J34" s="13" t="s">
        <v>40</v>
      </c>
    </row>
    <row r="35" ht="10.95" customHeight="true" customFormat="true" s="8">
      <c r="A35" s="12">
        <v>44553</v>
      </c>
      <c r="B35" s="13" t="s">
        <v>36</v>
      </c>
      <c r="C35" s="13" t="s">
        <v>54</v>
      </c>
      <c r="D35" s="13" t="s">
        <v>55</v>
      </c>
      <c r="E35" s="13" t="s">
        <v>16</v>
      </c>
      <c r="F35" s="14">
        <v>0</v>
      </c>
      <c r="G35" s="14">
        <v>80.8800</v>
      </c>
      <c r="H35" s="14">
        <v>0</v>
      </c>
      <c r="I35" s="14">
        <v>80.8800</v>
      </c>
      <c r="J35" s="13" t="s">
        <v>56</v>
      </c>
    </row>
    <row r="36" ht="114.45" customHeight="true" customFormat="true" s="8">
      <c r="A36" s="12">
        <v>44553</v>
      </c>
      <c r="B36" s="13" t="s">
        <v>36</v>
      </c>
      <c r="C36" s="18" t="s">
        <v>57</v>
      </c>
      <c r="D36" s="13" t="s">
        <v>58</v>
      </c>
      <c r="E36" s="13" t="s">
        <v>16</v>
      </c>
      <c r="F36" s="14">
        <v>0</v>
      </c>
      <c r="G36" s="14">
        <v>208.3300</v>
      </c>
      <c r="H36" s="14">
        <v>0</v>
      </c>
      <c r="I36" s="14">
        <v>208.3300</v>
      </c>
      <c r="J36" s="13" t="s">
        <v>17</v>
      </c>
    </row>
    <row r="37" ht="21.3" customHeight="true" customFormat="true" s="8">
      <c r="A37" s="12">
        <v>44657</v>
      </c>
      <c r="B37" s="13" t="s">
        <v>36</v>
      </c>
      <c r="C37" s="18" t="s">
        <v>59</v>
      </c>
      <c r="D37" s="13" t="s">
        <v>60</v>
      </c>
      <c r="E37" s="13" t="s">
        <v>16</v>
      </c>
      <c r="F37" s="14">
        <v>0</v>
      </c>
      <c r="G37" s="14">
        <v>1616.0000</v>
      </c>
      <c r="H37" s="14">
        <v>0</v>
      </c>
      <c r="I37" s="14">
        <v>1616.0000</v>
      </c>
      <c r="J37" s="13" t="s">
        <v>31</v>
      </c>
    </row>
    <row r="38" ht="21.3" customHeight="true" customFormat="true" s="8">
      <c r="A38" s="12">
        <v>44657</v>
      </c>
      <c r="B38" s="13" t="s">
        <v>36</v>
      </c>
      <c r="C38" s="18" t="s">
        <v>61</v>
      </c>
      <c r="D38" s="13" t="s">
        <v>60</v>
      </c>
      <c r="E38" s="13" t="s">
        <v>16</v>
      </c>
      <c r="F38" s="14">
        <v>0</v>
      </c>
      <c r="G38" s="14">
        <v>75.0000</v>
      </c>
      <c r="H38" s="14">
        <v>0</v>
      </c>
      <c r="I38" s="14">
        <v>75.0000</v>
      </c>
      <c r="J38" s="13" t="s">
        <v>40</v>
      </c>
    </row>
    <row r="39" ht="21.3" customHeight="true" customFormat="true" s="8">
      <c r="A39" s="12">
        <v>44657</v>
      </c>
      <c r="B39" s="13" t="s">
        <v>36</v>
      </c>
      <c r="C39" s="18" t="s">
        <v>62</v>
      </c>
      <c r="D39" s="13" t="s">
        <v>60</v>
      </c>
      <c r="E39" s="13" t="s">
        <v>16</v>
      </c>
      <c r="F39" s="14">
        <v>0</v>
      </c>
      <c r="G39" s="14">
        <v>675.0000</v>
      </c>
      <c r="H39" s="14">
        <v>0</v>
      </c>
      <c r="I39" s="14">
        <v>675.0000</v>
      </c>
      <c r="J39" s="13" t="s">
        <v>40</v>
      </c>
    </row>
    <row r="40" ht="21.3" customHeight="true" customFormat="true" s="8">
      <c r="A40" s="12">
        <v>44657</v>
      </c>
      <c r="B40" s="13" t="s">
        <v>36</v>
      </c>
      <c r="C40" s="18" t="s">
        <v>63</v>
      </c>
      <c r="D40" s="13" t="s">
        <v>60</v>
      </c>
      <c r="E40" s="13" t="s">
        <v>16</v>
      </c>
      <c r="F40" s="14">
        <v>0</v>
      </c>
      <c r="G40" s="14">
        <v>125.0000</v>
      </c>
      <c r="H40" s="14">
        <v>0</v>
      </c>
      <c r="I40" s="14">
        <v>125.0000</v>
      </c>
      <c r="J40" s="13" t="s">
        <v>40</v>
      </c>
    </row>
    <row r="41" ht="21.3" customHeight="true" customFormat="true" s="8">
      <c r="A41" s="12">
        <v>44657</v>
      </c>
      <c r="B41" s="13" t="s">
        <v>36</v>
      </c>
      <c r="C41" s="18" t="s">
        <v>64</v>
      </c>
      <c r="D41" s="13" t="s">
        <v>60</v>
      </c>
      <c r="E41" s="13" t="s">
        <v>16</v>
      </c>
      <c r="F41" s="14">
        <v>0</v>
      </c>
      <c r="G41" s="14">
        <v>1520.0000</v>
      </c>
      <c r="H41" s="14">
        <v>0</v>
      </c>
      <c r="I41" s="14">
        <v>1520.0000</v>
      </c>
      <c r="J41" s="13" t="s">
        <v>31</v>
      </c>
    </row>
    <row r="42" ht="21.3" customHeight="true" customFormat="true" s="8">
      <c r="A42" s="12">
        <v>44657</v>
      </c>
      <c r="B42" s="13" t="s">
        <v>36</v>
      </c>
      <c r="C42" s="18" t="s">
        <v>65</v>
      </c>
      <c r="D42" s="13" t="s">
        <v>60</v>
      </c>
      <c r="E42" s="13" t="s">
        <v>16</v>
      </c>
      <c r="F42" s="14">
        <v>0</v>
      </c>
      <c r="G42" s="14">
        <v>240.0000</v>
      </c>
      <c r="H42" s="14">
        <v>0</v>
      </c>
      <c r="I42" s="14">
        <v>240.0000</v>
      </c>
      <c r="J42" s="13" t="s">
        <v>40</v>
      </c>
    </row>
    <row r="43" ht="21.3" customHeight="true" customFormat="true" s="8">
      <c r="A43" s="12">
        <v>44657</v>
      </c>
      <c r="B43" s="13" t="s">
        <v>36</v>
      </c>
      <c r="C43" s="18" t="s">
        <v>66</v>
      </c>
      <c r="D43" s="13" t="s">
        <v>60</v>
      </c>
      <c r="E43" s="13" t="s">
        <v>16</v>
      </c>
      <c r="F43" s="14">
        <v>0</v>
      </c>
      <c r="G43" s="14">
        <v>60.0000</v>
      </c>
      <c r="H43" s="14">
        <v>0</v>
      </c>
      <c r="I43" s="14">
        <v>60.0000</v>
      </c>
      <c r="J43" s="13" t="s">
        <v>31</v>
      </c>
    </row>
    <row r="44" ht="21.3" customHeight="true" customFormat="true" s="8">
      <c r="A44" s="12">
        <v>44680</v>
      </c>
      <c r="B44" s="13" t="s">
        <v>36</v>
      </c>
      <c r="C44" s="18" t="s">
        <v>67</v>
      </c>
      <c r="D44" s="13" t="s">
        <v>68</v>
      </c>
      <c r="E44" s="13" t="s">
        <v>16</v>
      </c>
      <c r="F44" s="14">
        <v>0</v>
      </c>
      <c r="G44" s="14">
        <v>573.8300</v>
      </c>
      <c r="H44" s="14">
        <v>0</v>
      </c>
      <c r="I44" s="14">
        <v>573.8300</v>
      </c>
      <c r="J44" s="13" t="s">
        <v>56</v>
      </c>
    </row>
    <row r="45" ht="21.3" customHeight="true" customFormat="true" s="8">
      <c r="A45" s="12">
        <v>44680</v>
      </c>
      <c r="B45" s="13" t="s">
        <v>36</v>
      </c>
      <c r="C45" s="18" t="s">
        <v>69</v>
      </c>
      <c r="D45" s="13" t="s">
        <v>68</v>
      </c>
      <c r="E45" s="13" t="s">
        <v>16</v>
      </c>
      <c r="F45" s="14">
        <v>0</v>
      </c>
      <c r="G45" s="14">
        <v>253.1500</v>
      </c>
      <c r="H45" s="14">
        <v>0</v>
      </c>
      <c r="I45" s="14">
        <v>253.1500</v>
      </c>
      <c r="J45" s="13" t="s">
        <v>56</v>
      </c>
    </row>
    <row r="46" ht="10.95" customHeight="true" customFormat="true" s="8">
      <c r="A46" s="12">
        <v>44844</v>
      </c>
      <c r="B46" s="13" t="s">
        <v>36</v>
      </c>
      <c r="C46" s="13" t="s">
        <v>70</v>
      </c>
      <c r="D46" s="13" t="s">
        <v>71</v>
      </c>
      <c r="E46" s="13" t="s">
        <v>16</v>
      </c>
      <c r="F46" s="14">
        <v>0</v>
      </c>
      <c r="G46" s="14">
        <v>146.4900</v>
      </c>
      <c r="H46" s="14">
        <v>0</v>
      </c>
      <c r="I46" s="14">
        <v>146.4900</v>
      </c>
      <c r="J46" s="13" t="s">
        <v>17</v>
      </c>
    </row>
    <row r="47" ht="10.95" customHeight="true" customFormat="true" s="8">
      <c r="A47" s="12">
        <v>44844</v>
      </c>
      <c r="B47" s="13" t="s">
        <v>36</v>
      </c>
      <c r="C47" s="13" t="s">
        <v>72</v>
      </c>
      <c r="D47" s="13" t="s">
        <v>71</v>
      </c>
      <c r="E47" s="13" t="s">
        <v>16</v>
      </c>
      <c r="F47" s="14">
        <v>0</v>
      </c>
      <c r="G47" s="14">
        <v>193.7500</v>
      </c>
      <c r="H47" s="14">
        <v>0</v>
      </c>
      <c r="I47" s="14">
        <v>193.7500</v>
      </c>
      <c r="J47" s="13" t="s">
        <v>17</v>
      </c>
    </row>
    <row r="48" ht="10.95" customHeight="true" customFormat="true" s="8">
      <c r="A48" s="12">
        <v>44844</v>
      </c>
      <c r="B48" s="13" t="s">
        <v>36</v>
      </c>
      <c r="C48" s="13" t="s">
        <v>73</v>
      </c>
      <c r="D48" s="13" t="s">
        <v>71</v>
      </c>
      <c r="E48" s="13" t="s">
        <v>16</v>
      </c>
      <c r="F48" s="14">
        <v>0</v>
      </c>
      <c r="G48" s="14">
        <v>114.8500</v>
      </c>
      <c r="H48" s="14">
        <v>0</v>
      </c>
      <c r="I48" s="14">
        <v>114.8500</v>
      </c>
      <c r="J48" s="13" t="s">
        <v>17</v>
      </c>
    </row>
    <row r="49" ht="10.95" customHeight="true" customFormat="true" s="8">
      <c r="A49" s="12">
        <v>44844</v>
      </c>
      <c r="B49" s="13" t="s">
        <v>36</v>
      </c>
      <c r="C49" s="13" t="s">
        <v>74</v>
      </c>
      <c r="D49" s="13" t="s">
        <v>71</v>
      </c>
      <c r="E49" s="13" t="s">
        <v>16</v>
      </c>
      <c r="F49" s="14">
        <v>0</v>
      </c>
      <c r="G49" s="14">
        <v>83.8600</v>
      </c>
      <c r="H49" s="14">
        <v>0</v>
      </c>
      <c r="I49" s="14">
        <v>83.8600</v>
      </c>
      <c r="J49" s="13" t="s">
        <v>17</v>
      </c>
    </row>
    <row r="50" ht="21.3" customHeight="true" customFormat="true" s="8">
      <c r="A50" s="12">
        <v>44883</v>
      </c>
      <c r="B50" s="13" t="s">
        <v>36</v>
      </c>
      <c r="C50" s="18" t="s">
        <v>75</v>
      </c>
      <c r="D50" s="13" t="s">
        <v>76</v>
      </c>
      <c r="E50" s="13" t="s">
        <v>16</v>
      </c>
      <c r="F50" s="14">
        <v>0</v>
      </c>
      <c r="G50" s="14">
        <v>138.2500</v>
      </c>
      <c r="H50" s="14">
        <v>0</v>
      </c>
      <c r="I50" s="14">
        <v>138.2500</v>
      </c>
      <c r="J50" s="13" t="s">
        <v>17</v>
      </c>
    </row>
    <row r="51" ht="21.3" customHeight="true" customFormat="true" s="8">
      <c r="A51" s="12">
        <v>44949</v>
      </c>
      <c r="B51" s="13" t="s">
        <v>36</v>
      </c>
      <c r="C51" s="18" t="s">
        <v>77</v>
      </c>
      <c r="D51" s="13" t="s">
        <v>78</v>
      </c>
      <c r="E51" s="13" t="s">
        <v>16</v>
      </c>
      <c r="F51" s="14">
        <v>0</v>
      </c>
      <c r="G51" s="14">
        <v>1939.2000</v>
      </c>
      <c r="H51" s="14">
        <v>0</v>
      </c>
      <c r="I51" s="14">
        <v>1939.2000</v>
      </c>
      <c r="J51" s="13" t="s">
        <v>31</v>
      </c>
    </row>
    <row r="52" ht="21.3" customHeight="true" customFormat="true" s="8">
      <c r="A52" s="12">
        <v>44949</v>
      </c>
      <c r="B52" s="13" t="s">
        <v>36</v>
      </c>
      <c r="C52" s="18" t="s">
        <v>63</v>
      </c>
      <c r="D52" s="13" t="s">
        <v>78</v>
      </c>
      <c r="E52" s="13" t="s">
        <v>16</v>
      </c>
      <c r="F52" s="14">
        <v>0</v>
      </c>
      <c r="G52" s="14">
        <v>150.0000</v>
      </c>
      <c r="H52" s="14">
        <v>0</v>
      </c>
      <c r="I52" s="14">
        <v>150.0000</v>
      </c>
      <c r="J52" s="13" t="s">
        <v>40</v>
      </c>
    </row>
    <row r="53" ht="21.3" customHeight="true" customFormat="true" s="8">
      <c r="A53" s="12">
        <v>44949</v>
      </c>
      <c r="B53" s="13" t="s">
        <v>36</v>
      </c>
      <c r="C53" s="18" t="s">
        <v>79</v>
      </c>
      <c r="D53" s="13" t="s">
        <v>78</v>
      </c>
      <c r="E53" s="13" t="s">
        <v>16</v>
      </c>
      <c r="F53" s="14">
        <v>0</v>
      </c>
      <c r="G53" s="14">
        <v>630.0000</v>
      </c>
      <c r="H53" s="14">
        <v>0</v>
      </c>
      <c r="I53" s="14">
        <v>630.0000</v>
      </c>
      <c r="J53" s="13" t="s">
        <v>40</v>
      </c>
    </row>
    <row r="54" ht="21.3" customHeight="true" customFormat="true" s="8">
      <c r="A54" s="12">
        <v>44949</v>
      </c>
      <c r="B54" s="13" t="s">
        <v>36</v>
      </c>
      <c r="C54" s="18" t="s">
        <v>64</v>
      </c>
      <c r="D54" s="13" t="s">
        <v>78</v>
      </c>
      <c r="E54" s="13" t="s">
        <v>16</v>
      </c>
      <c r="F54" s="14">
        <v>0</v>
      </c>
      <c r="G54" s="14">
        <v>1824.0000</v>
      </c>
      <c r="H54" s="14">
        <v>0</v>
      </c>
      <c r="I54" s="14">
        <v>1824.0000</v>
      </c>
      <c r="J54" s="13" t="s">
        <v>31</v>
      </c>
    </row>
    <row r="55" ht="10.95" customHeight="true" customFormat="true" s="8">
      <c r="A55" s="12">
        <v>45077</v>
      </c>
      <c r="B55" s="13" t="s">
        <v>36</v>
      </c>
      <c r="C55" s="13" t="s">
        <v>80</v>
      </c>
      <c r="D55" s="13" t="s">
        <v>81</v>
      </c>
      <c r="E55" s="13" t="s">
        <v>16</v>
      </c>
      <c r="F55" s="14">
        <v>0</v>
      </c>
      <c r="G55" s="14">
        <v>85.0100</v>
      </c>
      <c r="H55" s="14">
        <v>0</v>
      </c>
      <c r="I55" s="14">
        <v>85.0100</v>
      </c>
      <c r="J55" s="13" t="s">
        <v>17</v>
      </c>
    </row>
    <row r="56" ht="10.95" customHeight="true" customFormat="true" s="8">
      <c r="A56" s="12">
        <v>45261</v>
      </c>
      <c r="B56" s="13" t="s">
        <v>36</v>
      </c>
      <c r="C56" s="13" t="s">
        <v>82</v>
      </c>
      <c r="D56" s="13" t="s">
        <v>83</v>
      </c>
      <c r="E56" s="13" t="s">
        <v>16</v>
      </c>
      <c r="F56" s="14">
        <v>0</v>
      </c>
      <c r="G56" s="14">
        <v>162.6500</v>
      </c>
      <c r="H56" s="14">
        <v>0</v>
      </c>
      <c r="I56" s="14">
        <v>162.6500</v>
      </c>
      <c r="J56" s="13" t="s">
        <v>17</v>
      </c>
    </row>
    <row r="57" ht="10.95" customHeight="true" customFormat="true" s="8">
      <c r="A57" s="15" t="s">
        <v>84</v>
      </c>
      <c r="B57" s="15"/>
      <c r="C57" s="15"/>
      <c r="D57" s="15"/>
      <c r="E57" s="15"/>
      <c r="F57" s="16">
        <f ca="1">SUM(F18:F56)</f>
        <v>0</v>
      </c>
      <c r="G57" s="16">
        <f ca="1">SUM(G18:G56)</f>
        <v>0</v>
      </c>
      <c r="H57" s="16">
        <f ca="1">SUM(H18:H56)</f>
        <v>0</v>
      </c>
      <c r="I57" s="16">
        <f ca="1">SUM(I18:I56)</f>
        <v>0</v>
      </c>
      <c r="J57" s="15"/>
    </row>
    <row r="58" ht="13.35" customHeight="true"/>
    <row r="59" ht="12.1" customHeight="true" customFormat="true" s="5">
      <c r="A59" s="17" t="s">
        <v>85</v>
      </c>
      <c r="B59" s="17"/>
      <c r="C59" s="17"/>
      <c r="D59" s="17"/>
      <c r="E59" s="17"/>
      <c r="F59" s="17"/>
      <c r="G59" s="17"/>
      <c r="H59" s="17"/>
      <c r="I59" s="17"/>
      <c r="J59" s="17"/>
    </row>
    <row r="60" ht="10.95" customHeight="true" customFormat="true" s="8">
      <c r="A60" s="9">
        <v>44455</v>
      </c>
      <c r="B60" s="10" t="s">
        <v>36</v>
      </c>
      <c r="C60" s="10" t="s">
        <v>86</v>
      </c>
      <c r="D60" s="10" t="s">
        <v>87</v>
      </c>
      <c r="E60" s="10" t="s">
        <v>16</v>
      </c>
      <c r="F60" s="11">
        <v>0</v>
      </c>
      <c r="G60" s="11">
        <v>4955.0000</v>
      </c>
      <c r="H60" s="11">
        <v>0</v>
      </c>
      <c r="I60" s="11">
        <v>4955.0000</v>
      </c>
      <c r="J60" s="10" t="s">
        <v>40</v>
      </c>
    </row>
    <row r="61" ht="31.65" customHeight="true" customFormat="true" s="8">
      <c r="A61" s="12">
        <v>44455</v>
      </c>
      <c r="B61" s="13" t="s">
        <v>36</v>
      </c>
      <c r="C61" s="18" t="s">
        <v>88</v>
      </c>
      <c r="D61" s="13" t="s">
        <v>89</v>
      </c>
      <c r="E61" s="13" t="s">
        <v>16</v>
      </c>
      <c r="F61" s="14">
        <v>0</v>
      </c>
      <c r="G61" s="14">
        <v>773.8100</v>
      </c>
      <c r="H61" s="14">
        <v>0</v>
      </c>
      <c r="I61" s="14">
        <v>773.8100</v>
      </c>
      <c r="J61" s="13" t="s">
        <v>31</v>
      </c>
    </row>
    <row r="62" ht="31.65" customHeight="true" customFormat="true" s="8">
      <c r="A62" s="12">
        <v>44455</v>
      </c>
      <c r="B62" s="13" t="s">
        <v>36</v>
      </c>
      <c r="C62" s="18" t="s">
        <v>90</v>
      </c>
      <c r="D62" s="13" t="s">
        <v>89</v>
      </c>
      <c r="E62" s="13" t="s">
        <v>16</v>
      </c>
      <c r="F62" s="14">
        <v>0</v>
      </c>
      <c r="G62" s="14">
        <v>47.6200</v>
      </c>
      <c r="H62" s="14">
        <v>0</v>
      </c>
      <c r="I62" s="14">
        <v>47.6200</v>
      </c>
      <c r="J62" s="13" t="s">
        <v>40</v>
      </c>
    </row>
    <row r="63" ht="31.65" customHeight="true" customFormat="true" s="8">
      <c r="A63" s="12">
        <v>44455</v>
      </c>
      <c r="B63" s="13" t="s">
        <v>36</v>
      </c>
      <c r="C63" s="18" t="s">
        <v>91</v>
      </c>
      <c r="D63" s="13" t="s">
        <v>89</v>
      </c>
      <c r="E63" s="13" t="s">
        <v>16</v>
      </c>
      <c r="F63" s="14">
        <v>0</v>
      </c>
      <c r="G63" s="14">
        <v>952.3800</v>
      </c>
      <c r="H63" s="14">
        <v>0</v>
      </c>
      <c r="I63" s="14">
        <v>952.3800</v>
      </c>
      <c r="J63" s="13" t="s">
        <v>31</v>
      </c>
    </row>
    <row r="64" ht="31.65" customHeight="true" customFormat="true" s="8">
      <c r="A64" s="12">
        <v>44455</v>
      </c>
      <c r="B64" s="13" t="s">
        <v>36</v>
      </c>
      <c r="C64" s="18" t="s">
        <v>92</v>
      </c>
      <c r="D64" s="13" t="s">
        <v>89</v>
      </c>
      <c r="E64" s="13" t="s">
        <v>16</v>
      </c>
      <c r="F64" s="14">
        <v>0</v>
      </c>
      <c r="G64" s="14">
        <v>866.6700</v>
      </c>
      <c r="H64" s="14">
        <v>0</v>
      </c>
      <c r="I64" s="14">
        <v>866.6700</v>
      </c>
      <c r="J64" s="13" t="s">
        <v>40</v>
      </c>
    </row>
    <row r="65" ht="10.95" customHeight="true" customFormat="true" s="8">
      <c r="A65" s="12">
        <v>44455</v>
      </c>
      <c r="B65" s="13" t="s">
        <v>36</v>
      </c>
      <c r="C65" s="13" t="s">
        <v>93</v>
      </c>
      <c r="D65" s="13" t="s">
        <v>89</v>
      </c>
      <c r="E65" s="13" t="s">
        <v>16</v>
      </c>
      <c r="F65" s="14">
        <v>0</v>
      </c>
      <c r="G65" s="14">
        <v>520.2000</v>
      </c>
      <c r="H65" s="14">
        <v>0</v>
      </c>
      <c r="I65" s="14">
        <v>520.2000</v>
      </c>
      <c r="J65" s="13" t="s">
        <v>40</v>
      </c>
    </row>
    <row r="66" ht="10.95" customHeight="true" customFormat="true" s="8">
      <c r="A66" s="12">
        <v>44455</v>
      </c>
      <c r="B66" s="13" t="s">
        <v>36</v>
      </c>
      <c r="C66" s="13" t="s">
        <v>94</v>
      </c>
      <c r="D66" s="13" t="s">
        <v>89</v>
      </c>
      <c r="E66" s="13" t="s">
        <v>16</v>
      </c>
      <c r="F66" s="14">
        <v>0</v>
      </c>
      <c r="G66" s="14">
        <v>91.8000</v>
      </c>
      <c r="H66" s="14">
        <v>0</v>
      </c>
      <c r="I66" s="14">
        <v>91.8000</v>
      </c>
      <c r="J66" s="13" t="s">
        <v>40</v>
      </c>
    </row>
    <row r="67" ht="10.95" customHeight="true" customFormat="true" s="8">
      <c r="A67" s="12">
        <v>44455</v>
      </c>
      <c r="B67" s="13" t="s">
        <v>36</v>
      </c>
      <c r="C67" s="13" t="s">
        <v>95</v>
      </c>
      <c r="D67" s="13" t="s">
        <v>89</v>
      </c>
      <c r="E67" s="13" t="s">
        <v>16</v>
      </c>
      <c r="F67" s="14">
        <v>0</v>
      </c>
      <c r="G67" s="14">
        <v>63.2000</v>
      </c>
      <c r="H67" s="14">
        <v>0</v>
      </c>
      <c r="I67" s="14">
        <v>63.2000</v>
      </c>
      <c r="J67" s="13" t="s">
        <v>40</v>
      </c>
    </row>
    <row r="68" ht="10.95" customHeight="true" customFormat="true" s="8">
      <c r="A68" s="12">
        <v>44455</v>
      </c>
      <c r="B68" s="13" t="s">
        <v>36</v>
      </c>
      <c r="C68" s="13" t="s">
        <v>96</v>
      </c>
      <c r="D68" s="13" t="s">
        <v>89</v>
      </c>
      <c r="E68" s="13" t="s">
        <v>16</v>
      </c>
      <c r="F68" s="14">
        <v>0</v>
      </c>
      <c r="G68" s="14">
        <v>231.2800</v>
      </c>
      <c r="H68" s="14">
        <v>0</v>
      </c>
      <c r="I68" s="14">
        <v>231.2800</v>
      </c>
      <c r="J68" s="13" t="s">
        <v>40</v>
      </c>
    </row>
    <row r="69" ht="31.65" customHeight="true" customFormat="true" s="8">
      <c r="A69" s="12">
        <v>44463</v>
      </c>
      <c r="B69" s="13" t="s">
        <v>36</v>
      </c>
      <c r="C69" s="18" t="s">
        <v>97</v>
      </c>
      <c r="D69" s="13" t="s">
        <v>98</v>
      </c>
      <c r="E69" s="13" t="s">
        <v>16</v>
      </c>
      <c r="F69" s="14">
        <v>0</v>
      </c>
      <c r="G69" s="14">
        <v>7347.2900</v>
      </c>
      <c r="H69" s="14">
        <v>0</v>
      </c>
      <c r="I69" s="14">
        <v>7347.2900</v>
      </c>
      <c r="J69" s="13" t="s">
        <v>17</v>
      </c>
    </row>
    <row r="70" ht="10.95" customHeight="true" customFormat="true" s="8">
      <c r="A70" s="12">
        <v>44509</v>
      </c>
      <c r="B70" s="13" t="s">
        <v>36</v>
      </c>
      <c r="C70" s="13" t="s">
        <v>99</v>
      </c>
      <c r="D70" s="13" t="s">
        <v>100</v>
      </c>
      <c r="E70" s="13" t="s">
        <v>16</v>
      </c>
      <c r="F70" s="14">
        <v>0</v>
      </c>
      <c r="G70" s="14">
        <v>612.8500</v>
      </c>
      <c r="H70" s="14">
        <v>0</v>
      </c>
      <c r="I70" s="14">
        <v>612.8500</v>
      </c>
      <c r="J70" s="13" t="s">
        <v>56</v>
      </c>
    </row>
    <row r="71" ht="21.3" customHeight="true" customFormat="true" s="8">
      <c r="A71" s="12">
        <v>44526</v>
      </c>
      <c r="B71" s="13" t="s">
        <v>36</v>
      </c>
      <c r="C71" s="18" t="s">
        <v>101</v>
      </c>
      <c r="D71" s="13" t="s">
        <v>102</v>
      </c>
      <c r="E71" s="13" t="s">
        <v>16</v>
      </c>
      <c r="F71" s="14">
        <v>0</v>
      </c>
      <c r="G71" s="14">
        <v>1288.3000</v>
      </c>
      <c r="H71" s="14">
        <v>0</v>
      </c>
      <c r="I71" s="14">
        <v>1288.3000</v>
      </c>
      <c r="J71" s="13" t="s">
        <v>40</v>
      </c>
    </row>
    <row r="72" ht="10.95" customHeight="true" customFormat="true" s="8">
      <c r="A72" s="12">
        <v>44551</v>
      </c>
      <c r="B72" s="13" t="s">
        <v>103</v>
      </c>
      <c r="C72" s="13" t="s">
        <v>104</v>
      </c>
      <c r="D72" s="13" t="s">
        <v>98</v>
      </c>
      <c r="E72" s="13" t="s">
        <v>16</v>
      </c>
      <c r="F72" s="14">
        <v>7347.2900</v>
      </c>
      <c r="G72" s="14">
        <v>0</v>
      </c>
      <c r="H72" s="14">
        <v>7347.2900</v>
      </c>
      <c r="I72" s="14">
        <v>0</v>
      </c>
      <c r="J72" s="13" t="s">
        <v>17</v>
      </c>
    </row>
    <row r="73" ht="10.95" customHeight="true" customFormat="true" s="8">
      <c r="A73" s="12">
        <v>44553</v>
      </c>
      <c r="B73" s="13" t="s">
        <v>36</v>
      </c>
      <c r="C73" s="13" t="s">
        <v>105</v>
      </c>
      <c r="D73" s="13" t="s">
        <v>106</v>
      </c>
      <c r="E73" s="13" t="s">
        <v>16</v>
      </c>
      <c r="F73" s="14">
        <v>0</v>
      </c>
      <c r="G73" s="14">
        <v>1130.9300</v>
      </c>
      <c r="H73" s="14">
        <v>0</v>
      </c>
      <c r="I73" s="14">
        <v>1130.9300</v>
      </c>
      <c r="J73" s="13" t="s">
        <v>56</v>
      </c>
    </row>
    <row r="74" ht="31.65" customHeight="true" customFormat="true" s="8">
      <c r="A74" s="12">
        <v>44631</v>
      </c>
      <c r="B74" s="13" t="s">
        <v>36</v>
      </c>
      <c r="C74" s="18" t="s">
        <v>107</v>
      </c>
      <c r="D74" s="13" t="s">
        <v>108</v>
      </c>
      <c r="E74" s="13" t="s">
        <v>16</v>
      </c>
      <c r="F74" s="14">
        <v>0</v>
      </c>
      <c r="G74" s="14">
        <v>405.4900</v>
      </c>
      <c r="H74" s="14">
        <v>0</v>
      </c>
      <c r="I74" s="14">
        <v>405.4900</v>
      </c>
      <c r="J74" s="13" t="s">
        <v>56</v>
      </c>
    </row>
    <row r="75" ht="31.65" customHeight="true" customFormat="true" s="8">
      <c r="A75" s="12">
        <v>44631</v>
      </c>
      <c r="B75" s="13" t="s">
        <v>36</v>
      </c>
      <c r="C75" s="18" t="s">
        <v>109</v>
      </c>
      <c r="D75" s="13" t="s">
        <v>110</v>
      </c>
      <c r="E75" s="13" t="s">
        <v>16</v>
      </c>
      <c r="F75" s="14">
        <v>0</v>
      </c>
      <c r="G75" s="14">
        <v>68.5900</v>
      </c>
      <c r="H75" s="14">
        <v>0</v>
      </c>
      <c r="I75" s="14">
        <v>68.5900</v>
      </c>
      <c r="J75" s="13" t="s">
        <v>56</v>
      </c>
    </row>
    <row r="76" ht="42" customHeight="true" customFormat="true" s="8">
      <c r="A76" s="12">
        <v>44664</v>
      </c>
      <c r="B76" s="13" t="s">
        <v>36</v>
      </c>
      <c r="C76" s="18" t="s">
        <v>111</v>
      </c>
      <c r="D76" s="13" t="s">
        <v>112</v>
      </c>
      <c r="E76" s="13" t="s">
        <v>16</v>
      </c>
      <c r="F76" s="14">
        <v>0</v>
      </c>
      <c r="G76" s="14">
        <v>225.0000</v>
      </c>
      <c r="H76" s="14">
        <v>0</v>
      </c>
      <c r="I76" s="14">
        <v>225.0000</v>
      </c>
      <c r="J76" s="13" t="s">
        <v>40</v>
      </c>
    </row>
    <row r="77" ht="21.3" customHeight="true" customFormat="true" s="8">
      <c r="A77" s="12">
        <v>44680</v>
      </c>
      <c r="B77" s="13" t="s">
        <v>36</v>
      </c>
      <c r="C77" s="18" t="s">
        <v>113</v>
      </c>
      <c r="D77" s="13" t="s">
        <v>68</v>
      </c>
      <c r="E77" s="13" t="s">
        <v>16</v>
      </c>
      <c r="F77" s="14">
        <v>0</v>
      </c>
      <c r="G77" s="14">
        <v>370.8500</v>
      </c>
      <c r="H77" s="14">
        <v>0</v>
      </c>
      <c r="I77" s="14">
        <v>370.8500</v>
      </c>
      <c r="J77" s="13" t="s">
        <v>56</v>
      </c>
    </row>
    <row r="78" ht="21.3" customHeight="true" customFormat="true" s="8">
      <c r="A78" s="12">
        <v>44680</v>
      </c>
      <c r="B78" s="13" t="s">
        <v>36</v>
      </c>
      <c r="C78" s="18" t="s">
        <v>114</v>
      </c>
      <c r="D78" s="13" t="s">
        <v>68</v>
      </c>
      <c r="E78" s="13" t="s">
        <v>16</v>
      </c>
      <c r="F78" s="14">
        <v>0</v>
      </c>
      <c r="G78" s="14">
        <v>133.2700</v>
      </c>
      <c r="H78" s="14">
        <v>0</v>
      </c>
      <c r="I78" s="14">
        <v>133.2700</v>
      </c>
      <c r="J78" s="13" t="s">
        <v>56</v>
      </c>
    </row>
    <row r="79" ht="10.95" customHeight="true" customFormat="true" s="8">
      <c r="A79" s="12">
        <v>44844</v>
      </c>
      <c r="B79" s="13" t="s">
        <v>36</v>
      </c>
      <c r="C79" s="13" t="s">
        <v>115</v>
      </c>
      <c r="D79" s="13" t="s">
        <v>116</v>
      </c>
      <c r="E79" s="13" t="s">
        <v>16</v>
      </c>
      <c r="F79" s="14">
        <v>0</v>
      </c>
      <c r="G79" s="14">
        <v>68.2200</v>
      </c>
      <c r="H79" s="14">
        <v>0</v>
      </c>
      <c r="I79" s="14">
        <v>68.2200</v>
      </c>
      <c r="J79" s="13" t="s">
        <v>17</v>
      </c>
    </row>
    <row r="80" ht="10.95" customHeight="true" customFormat="true" s="8">
      <c r="A80" s="12">
        <v>44844</v>
      </c>
      <c r="B80" s="13" t="s">
        <v>36</v>
      </c>
      <c r="C80" s="13" t="s">
        <v>117</v>
      </c>
      <c r="D80" s="13" t="s">
        <v>116</v>
      </c>
      <c r="E80" s="13" t="s">
        <v>16</v>
      </c>
      <c r="F80" s="14">
        <v>0</v>
      </c>
      <c r="G80" s="14">
        <v>383.1100</v>
      </c>
      <c r="H80" s="14">
        <v>0</v>
      </c>
      <c r="I80" s="14">
        <v>383.1100</v>
      </c>
      <c r="J80" s="13" t="s">
        <v>17</v>
      </c>
    </row>
    <row r="81" ht="10.95" customHeight="true" customFormat="true" s="8">
      <c r="A81" s="12">
        <v>44844</v>
      </c>
      <c r="B81" s="13" t="s">
        <v>36</v>
      </c>
      <c r="C81" s="13" t="s">
        <v>118</v>
      </c>
      <c r="D81" s="13" t="s">
        <v>116</v>
      </c>
      <c r="E81" s="13" t="s">
        <v>16</v>
      </c>
      <c r="F81" s="14">
        <v>0</v>
      </c>
      <c r="G81" s="14">
        <v>544.6100</v>
      </c>
      <c r="H81" s="14">
        <v>0</v>
      </c>
      <c r="I81" s="14">
        <v>544.6100</v>
      </c>
      <c r="J81" s="13" t="s">
        <v>17</v>
      </c>
    </row>
    <row r="82" ht="10.95" customHeight="true" customFormat="true" s="8">
      <c r="A82" s="12">
        <v>44844</v>
      </c>
      <c r="B82" s="13" t="s">
        <v>36</v>
      </c>
      <c r="C82" s="13" t="s">
        <v>119</v>
      </c>
      <c r="D82" s="13" t="s">
        <v>116</v>
      </c>
      <c r="E82" s="13" t="s">
        <v>16</v>
      </c>
      <c r="F82" s="14">
        <v>0</v>
      </c>
      <c r="G82" s="14">
        <v>306.3600</v>
      </c>
      <c r="H82" s="14">
        <v>0</v>
      </c>
      <c r="I82" s="14">
        <v>306.3600</v>
      </c>
      <c r="J82" s="13" t="s">
        <v>17</v>
      </c>
    </row>
    <row r="83" ht="10.95" customHeight="true" customFormat="true" s="8">
      <c r="A83" s="12">
        <v>44844</v>
      </c>
      <c r="B83" s="13" t="s">
        <v>36</v>
      </c>
      <c r="C83" s="13" t="s">
        <v>120</v>
      </c>
      <c r="D83" s="13" t="s">
        <v>116</v>
      </c>
      <c r="E83" s="13" t="s">
        <v>16</v>
      </c>
      <c r="F83" s="14">
        <v>0</v>
      </c>
      <c r="G83" s="14">
        <v>239.9000</v>
      </c>
      <c r="H83" s="14">
        <v>0</v>
      </c>
      <c r="I83" s="14">
        <v>239.9000</v>
      </c>
      <c r="J83" s="13" t="s">
        <v>17</v>
      </c>
    </row>
    <row r="84" ht="21.3" customHeight="true" customFormat="true" s="8">
      <c r="A84" s="12">
        <v>44883</v>
      </c>
      <c r="B84" s="13" t="s">
        <v>36</v>
      </c>
      <c r="C84" s="18" t="s">
        <v>121</v>
      </c>
      <c r="D84" s="13" t="s">
        <v>122</v>
      </c>
      <c r="E84" s="13" t="s">
        <v>16</v>
      </c>
      <c r="F84" s="14">
        <v>0</v>
      </c>
      <c r="G84" s="14">
        <v>740.1900</v>
      </c>
      <c r="H84" s="14">
        <v>0</v>
      </c>
      <c r="I84" s="14">
        <v>740.1900</v>
      </c>
      <c r="J84" s="13" t="s">
        <v>17</v>
      </c>
    </row>
    <row r="85" ht="10.95" customHeight="true" customFormat="true" s="8">
      <c r="A85" s="12">
        <v>45077</v>
      </c>
      <c r="B85" s="13" t="s">
        <v>36</v>
      </c>
      <c r="C85" s="13" t="s">
        <v>123</v>
      </c>
      <c r="D85" s="13" t="s">
        <v>124</v>
      </c>
      <c r="E85" s="13" t="s">
        <v>16</v>
      </c>
      <c r="F85" s="14">
        <v>0</v>
      </c>
      <c r="G85" s="14">
        <v>125.8400</v>
      </c>
      <c r="H85" s="14">
        <v>0</v>
      </c>
      <c r="I85" s="14">
        <v>125.8400</v>
      </c>
      <c r="J85" s="13" t="s">
        <v>17</v>
      </c>
    </row>
    <row r="86" ht="10.95" customHeight="true" customFormat="true" s="8">
      <c r="A86" s="12">
        <v>45187</v>
      </c>
      <c r="B86" s="13" t="s">
        <v>36</v>
      </c>
      <c r="C86" s="13" t="s">
        <v>125</v>
      </c>
      <c r="D86" s="13" t="s">
        <v>126</v>
      </c>
      <c r="E86" s="13" t="s">
        <v>16</v>
      </c>
      <c r="F86" s="14">
        <v>0</v>
      </c>
      <c r="G86" s="14">
        <v>547.3300</v>
      </c>
      <c r="H86" s="14">
        <v>0</v>
      </c>
      <c r="I86" s="14">
        <v>547.3300</v>
      </c>
      <c r="J86" s="13" t="s">
        <v>17</v>
      </c>
    </row>
    <row r="87" ht="10.95" customHeight="true" customFormat="true" s="8">
      <c r="A87" s="12">
        <v>45187</v>
      </c>
      <c r="B87" s="13" t="s">
        <v>36</v>
      </c>
      <c r="C87" s="13" t="s">
        <v>127</v>
      </c>
      <c r="D87" s="13" t="s">
        <v>126</v>
      </c>
      <c r="E87" s="13" t="s">
        <v>16</v>
      </c>
      <c r="F87" s="14">
        <v>0</v>
      </c>
      <c r="G87" s="14">
        <v>600.2300</v>
      </c>
      <c r="H87" s="14">
        <v>0</v>
      </c>
      <c r="I87" s="14">
        <v>600.2300</v>
      </c>
      <c r="J87" s="13" t="s">
        <v>17</v>
      </c>
    </row>
    <row r="88" ht="10.95" customHeight="true" customFormat="true" s="8">
      <c r="A88" s="12">
        <v>45187</v>
      </c>
      <c r="B88" s="13" t="s">
        <v>36</v>
      </c>
      <c r="C88" s="13" t="s">
        <v>128</v>
      </c>
      <c r="D88" s="13" t="s">
        <v>126</v>
      </c>
      <c r="E88" s="13" t="s">
        <v>16</v>
      </c>
      <c r="F88" s="14">
        <v>0</v>
      </c>
      <c r="G88" s="14">
        <v>268.3300</v>
      </c>
      <c r="H88" s="14">
        <v>0</v>
      </c>
      <c r="I88" s="14">
        <v>268.3300</v>
      </c>
      <c r="J88" s="13" t="s">
        <v>17</v>
      </c>
    </row>
    <row r="89" ht="21.3" customHeight="true" customFormat="true" s="8">
      <c r="A89" s="12">
        <v>45187</v>
      </c>
      <c r="B89" s="13" t="s">
        <v>36</v>
      </c>
      <c r="C89" s="18" t="s">
        <v>129</v>
      </c>
      <c r="D89" s="13" t="s">
        <v>126</v>
      </c>
      <c r="E89" s="13" t="s">
        <v>16</v>
      </c>
      <c r="F89" s="14">
        <v>0</v>
      </c>
      <c r="G89" s="14">
        <v>138.3300</v>
      </c>
      <c r="H89" s="14">
        <v>0</v>
      </c>
      <c r="I89" s="14">
        <v>138.3300</v>
      </c>
      <c r="J89" s="13" t="s">
        <v>17</v>
      </c>
    </row>
    <row r="90" ht="10.95" customHeight="true" customFormat="true" s="8">
      <c r="A90" s="15" t="s">
        <v>130</v>
      </c>
      <c r="B90" s="15"/>
      <c r="C90" s="15"/>
      <c r="D90" s="15"/>
      <c r="E90" s="15"/>
      <c r="F90" s="16">
        <f ca="1">SUM(F60:F89)</f>
        <v>0</v>
      </c>
      <c r="G90" s="16">
        <f ca="1">SUM(G60:G89)</f>
        <v>0</v>
      </c>
      <c r="H90" s="16">
        <f ca="1">SUM(H60:H89)</f>
        <v>0</v>
      </c>
      <c r="I90" s="16">
        <f ca="1">SUM(I60:I89)</f>
        <v>0</v>
      </c>
      <c r="J90" s="15"/>
    </row>
    <row r="91" ht="13.35" customHeight="true"/>
    <row r="92" ht="12.1" customHeight="true" customFormat="true" s="5">
      <c r="A92" s="17" t="s">
        <v>131</v>
      </c>
      <c r="B92" s="17"/>
      <c r="C92" s="17"/>
      <c r="D92" s="17"/>
      <c r="E92" s="17"/>
      <c r="F92" s="17"/>
      <c r="G92" s="17"/>
      <c r="H92" s="17"/>
      <c r="I92" s="17"/>
      <c r="J92" s="17"/>
    </row>
    <row r="93" ht="10.95" customHeight="true" customFormat="true" s="8">
      <c r="A93" s="9">
        <v>44971</v>
      </c>
      <c r="B93" s="10" t="s">
        <v>36</v>
      </c>
      <c r="C93" s="10" t="s">
        <v>132</v>
      </c>
      <c r="D93" s="10" t="s">
        <v>133</v>
      </c>
      <c r="E93" s="10" t="s">
        <v>16</v>
      </c>
      <c r="F93" s="11">
        <v>0</v>
      </c>
      <c r="G93" s="11">
        <v>398.3700</v>
      </c>
      <c r="H93" s="11">
        <v>0</v>
      </c>
      <c r="I93" s="11">
        <v>398.3700</v>
      </c>
      <c r="J93" s="10" t="s">
        <v>17</v>
      </c>
    </row>
    <row r="94" ht="10.95" customHeight="true" customFormat="true" s="8">
      <c r="A94" s="12">
        <v>44971</v>
      </c>
      <c r="B94" s="13" t="s">
        <v>36</v>
      </c>
      <c r="C94" s="13" t="s">
        <v>134</v>
      </c>
      <c r="D94" s="13" t="s">
        <v>133</v>
      </c>
      <c r="E94" s="13" t="s">
        <v>16</v>
      </c>
      <c r="F94" s="14">
        <v>0</v>
      </c>
      <c r="G94" s="14">
        <v>245.3600</v>
      </c>
      <c r="H94" s="14">
        <v>0</v>
      </c>
      <c r="I94" s="14">
        <v>245.3600</v>
      </c>
      <c r="J94" s="13" t="s">
        <v>17</v>
      </c>
    </row>
    <row r="95" ht="10.95" customHeight="true" customFormat="true" s="8">
      <c r="A95" s="12">
        <v>44971</v>
      </c>
      <c r="B95" s="13" t="s">
        <v>36</v>
      </c>
      <c r="C95" s="13" t="s">
        <v>135</v>
      </c>
      <c r="D95" s="13" t="s">
        <v>133</v>
      </c>
      <c r="E95" s="13" t="s">
        <v>16</v>
      </c>
      <c r="F95" s="14">
        <v>0</v>
      </c>
      <c r="G95" s="14">
        <v>283.1200</v>
      </c>
      <c r="H95" s="14">
        <v>0</v>
      </c>
      <c r="I95" s="14">
        <v>283.1200</v>
      </c>
      <c r="J95" s="13" t="s">
        <v>17</v>
      </c>
    </row>
    <row r="96" ht="10.95" customHeight="true" customFormat="true" s="8">
      <c r="A96" s="12">
        <v>45261</v>
      </c>
      <c r="B96" s="13" t="s">
        <v>36</v>
      </c>
      <c r="C96" s="13" t="s">
        <v>136</v>
      </c>
      <c r="D96" s="13" t="s">
        <v>137</v>
      </c>
      <c r="E96" s="13" t="s">
        <v>16</v>
      </c>
      <c r="F96" s="14">
        <v>0</v>
      </c>
      <c r="G96" s="14">
        <v>141.1700</v>
      </c>
      <c r="H96" s="14">
        <v>0</v>
      </c>
      <c r="I96" s="14">
        <v>141.1700</v>
      </c>
      <c r="J96" s="13" t="s">
        <v>17</v>
      </c>
    </row>
    <row r="97" ht="10.95" customHeight="true" customFormat="true" s="8">
      <c r="A97" s="12">
        <v>45261</v>
      </c>
      <c r="B97" s="13" t="s">
        <v>36</v>
      </c>
      <c r="C97" s="13" t="s">
        <v>138</v>
      </c>
      <c r="D97" s="13" t="s">
        <v>137</v>
      </c>
      <c r="E97" s="13" t="s">
        <v>16</v>
      </c>
      <c r="F97" s="14">
        <v>0</v>
      </c>
      <c r="G97" s="14">
        <v>289.9300</v>
      </c>
      <c r="H97" s="14">
        <v>0</v>
      </c>
      <c r="I97" s="14">
        <v>289.9300</v>
      </c>
      <c r="J97" s="13" t="s">
        <v>17</v>
      </c>
    </row>
    <row r="98" ht="10.95" customHeight="true" customFormat="true" s="8">
      <c r="A98" s="15" t="s">
        <v>139</v>
      </c>
      <c r="B98" s="15"/>
      <c r="C98" s="15"/>
      <c r="D98" s="15"/>
      <c r="E98" s="15"/>
      <c r="F98" s="16">
        <f ca="1">SUM(F93:F97)</f>
        <v>0</v>
      </c>
      <c r="G98" s="16">
        <f ca="1">SUM(G93:G97)</f>
        <v>0</v>
      </c>
      <c r="H98" s="16">
        <f ca="1">SUM(H93:H97)</f>
        <v>0</v>
      </c>
      <c r="I98" s="16">
        <f ca="1">SUM(I93:I97)</f>
        <v>0</v>
      </c>
      <c r="J98" s="15"/>
    </row>
    <row r="99" ht="13.35" customHeight="true"/>
    <row r="100" ht="12.1" customHeight="true" customFormat="true" s="5">
      <c r="A100" s="17" t="s">
        <v>140</v>
      </c>
      <c r="B100" s="17"/>
      <c r="C100" s="17"/>
      <c r="D100" s="17"/>
      <c r="E100" s="17"/>
      <c r="F100" s="17"/>
      <c r="G100" s="17"/>
      <c r="H100" s="17"/>
      <c r="I100" s="17"/>
      <c r="J100" s="17"/>
    </row>
    <row r="101" ht="31.65" customHeight="true" customFormat="true" s="8">
      <c r="A101" s="9">
        <v>44194</v>
      </c>
      <c r="B101" s="10" t="s">
        <v>36</v>
      </c>
      <c r="C101" s="19" t="s">
        <v>141</v>
      </c>
      <c r="D101" s="10" t="s">
        <v>142</v>
      </c>
      <c r="E101" s="10" t="s">
        <v>16</v>
      </c>
      <c r="F101" s="11">
        <v>0</v>
      </c>
      <c r="G101" s="11">
        <v>928.5700</v>
      </c>
      <c r="H101" s="11">
        <v>0</v>
      </c>
      <c r="I101" s="11">
        <v>928.5700</v>
      </c>
      <c r="J101" s="10" t="s">
        <v>17</v>
      </c>
    </row>
    <row r="102" ht="31.65" customHeight="true" customFormat="true" s="8">
      <c r="A102" s="12">
        <v>44194</v>
      </c>
      <c r="B102" s="13" t="s">
        <v>36</v>
      </c>
      <c r="C102" s="18" t="s">
        <v>143</v>
      </c>
      <c r="D102" s="13" t="s">
        <v>142</v>
      </c>
      <c r="E102" s="13" t="s">
        <v>16</v>
      </c>
      <c r="F102" s="14">
        <v>0</v>
      </c>
      <c r="G102" s="14">
        <v>51.9900</v>
      </c>
      <c r="H102" s="14">
        <v>0</v>
      </c>
      <c r="I102" s="14">
        <v>51.9900</v>
      </c>
      <c r="J102" s="13" t="s">
        <v>17</v>
      </c>
    </row>
    <row r="103" ht="31.65" customHeight="true" customFormat="true" s="8">
      <c r="A103" s="12">
        <v>44194</v>
      </c>
      <c r="B103" s="13" t="s">
        <v>36</v>
      </c>
      <c r="C103" s="18" t="s">
        <v>144</v>
      </c>
      <c r="D103" s="13" t="s">
        <v>142</v>
      </c>
      <c r="E103" s="13" t="s">
        <v>16</v>
      </c>
      <c r="F103" s="14">
        <v>0</v>
      </c>
      <c r="G103" s="14">
        <v>1714.3000</v>
      </c>
      <c r="H103" s="14">
        <v>0</v>
      </c>
      <c r="I103" s="14">
        <v>1714.3000</v>
      </c>
      <c r="J103" s="13" t="s">
        <v>17</v>
      </c>
    </row>
    <row r="104" ht="42" customHeight="true" customFormat="true" s="8">
      <c r="A104" s="12">
        <v>44194</v>
      </c>
      <c r="B104" s="13" t="s">
        <v>36</v>
      </c>
      <c r="C104" s="18" t="s">
        <v>145</v>
      </c>
      <c r="D104" s="13" t="s">
        <v>142</v>
      </c>
      <c r="E104" s="13" t="s">
        <v>16</v>
      </c>
      <c r="F104" s="14">
        <v>0</v>
      </c>
      <c r="G104" s="14">
        <v>466.6700</v>
      </c>
      <c r="H104" s="14">
        <v>0</v>
      </c>
      <c r="I104" s="14">
        <v>466.6700</v>
      </c>
      <c r="J104" s="13" t="s">
        <v>17</v>
      </c>
    </row>
    <row r="105" ht="31.65" customHeight="true" customFormat="true" s="8">
      <c r="A105" s="12">
        <v>44194</v>
      </c>
      <c r="B105" s="13" t="s">
        <v>36</v>
      </c>
      <c r="C105" s="18" t="s">
        <v>146</v>
      </c>
      <c r="D105" s="13" t="s">
        <v>142</v>
      </c>
      <c r="E105" s="13" t="s">
        <v>16</v>
      </c>
      <c r="F105" s="14">
        <v>0</v>
      </c>
      <c r="G105" s="14">
        <v>897.2000</v>
      </c>
      <c r="H105" s="14">
        <v>0</v>
      </c>
      <c r="I105" s="14">
        <v>897.2000</v>
      </c>
      <c r="J105" s="13" t="s">
        <v>17</v>
      </c>
    </row>
    <row r="106" ht="31.65" customHeight="true" customFormat="true" s="8">
      <c r="A106" s="12">
        <v>44194</v>
      </c>
      <c r="B106" s="13" t="s">
        <v>36</v>
      </c>
      <c r="C106" s="18" t="s">
        <v>147</v>
      </c>
      <c r="D106" s="13" t="s">
        <v>142</v>
      </c>
      <c r="E106" s="13" t="s">
        <v>16</v>
      </c>
      <c r="F106" s="14">
        <v>0</v>
      </c>
      <c r="G106" s="14">
        <v>1600.0000</v>
      </c>
      <c r="H106" s="14">
        <v>0</v>
      </c>
      <c r="I106" s="14">
        <v>1600.0000</v>
      </c>
      <c r="J106" s="13" t="s">
        <v>17</v>
      </c>
    </row>
    <row r="107" ht="10.95" customHeight="true" customFormat="true" s="8">
      <c r="A107" s="12">
        <v>44194</v>
      </c>
      <c r="B107" s="13" t="s">
        <v>36</v>
      </c>
      <c r="C107" s="13" t="s">
        <v>148</v>
      </c>
      <c r="D107" s="13" t="s">
        <v>142</v>
      </c>
      <c r="E107" s="13" t="s">
        <v>16</v>
      </c>
      <c r="F107" s="14">
        <v>0</v>
      </c>
      <c r="G107" s="14">
        <v>600.0000</v>
      </c>
      <c r="H107" s="14">
        <v>0</v>
      </c>
      <c r="I107" s="14">
        <v>600.0000</v>
      </c>
      <c r="J107" s="13" t="s">
        <v>17</v>
      </c>
    </row>
    <row r="108" ht="31.65" customHeight="true" customFormat="true" s="8">
      <c r="A108" s="12">
        <v>44216</v>
      </c>
      <c r="B108" s="13" t="s">
        <v>36</v>
      </c>
      <c r="C108" s="18" t="s">
        <v>149</v>
      </c>
      <c r="D108" s="13" t="s">
        <v>150</v>
      </c>
      <c r="E108" s="13" t="s">
        <v>16</v>
      </c>
      <c r="F108" s="14">
        <v>0</v>
      </c>
      <c r="G108" s="14">
        <v>1857.1400</v>
      </c>
      <c r="H108" s="14">
        <v>0</v>
      </c>
      <c r="I108" s="14">
        <v>1857.1400</v>
      </c>
      <c r="J108" s="13" t="s">
        <v>31</v>
      </c>
    </row>
    <row r="109" ht="31.65" customHeight="true" customFormat="true" s="8">
      <c r="A109" s="12">
        <v>44216</v>
      </c>
      <c r="B109" s="13" t="s">
        <v>36</v>
      </c>
      <c r="C109" s="18" t="s">
        <v>151</v>
      </c>
      <c r="D109" s="13" t="s">
        <v>150</v>
      </c>
      <c r="E109" s="13" t="s">
        <v>16</v>
      </c>
      <c r="F109" s="14">
        <v>0</v>
      </c>
      <c r="G109" s="14">
        <v>2560.0000</v>
      </c>
      <c r="H109" s="14">
        <v>0</v>
      </c>
      <c r="I109" s="14">
        <v>2560.0000</v>
      </c>
      <c r="J109" s="13" t="s">
        <v>40</v>
      </c>
    </row>
    <row r="110" ht="42" customHeight="true" customFormat="true" s="8">
      <c r="A110" s="12">
        <v>44216</v>
      </c>
      <c r="B110" s="13" t="s">
        <v>36</v>
      </c>
      <c r="C110" s="18" t="s">
        <v>152</v>
      </c>
      <c r="D110" s="13" t="s">
        <v>150</v>
      </c>
      <c r="E110" s="13" t="s">
        <v>16</v>
      </c>
      <c r="F110" s="14">
        <v>0</v>
      </c>
      <c r="G110" s="14">
        <v>2285.7200</v>
      </c>
      <c r="H110" s="14">
        <v>0</v>
      </c>
      <c r="I110" s="14">
        <v>2285.7200</v>
      </c>
      <c r="J110" s="13" t="s">
        <v>31</v>
      </c>
    </row>
    <row r="111" ht="10.95" customHeight="true" customFormat="true" s="8">
      <c r="A111" s="12">
        <v>44238</v>
      </c>
      <c r="B111" s="13" t="s">
        <v>153</v>
      </c>
      <c r="C111" s="13" t="s">
        <v>154</v>
      </c>
      <c r="D111" s="13" t="s">
        <v>155</v>
      </c>
      <c r="E111" s="13" t="s">
        <v>16</v>
      </c>
      <c r="F111" s="14">
        <v>0</v>
      </c>
      <c r="G111" s="14">
        <v>5.8400</v>
      </c>
      <c r="H111" s="14">
        <v>0</v>
      </c>
      <c r="I111" s="14">
        <v>5.8400</v>
      </c>
      <c r="J111" s="13" t="s">
        <v>56</v>
      </c>
    </row>
    <row r="112" ht="10.95" customHeight="true" customFormat="true" s="8">
      <c r="A112" s="12">
        <v>44238</v>
      </c>
      <c r="B112" s="13" t="s">
        <v>36</v>
      </c>
      <c r="C112" s="13" t="s">
        <v>156</v>
      </c>
      <c r="D112" s="13" t="s">
        <v>157</v>
      </c>
      <c r="E112" s="13" t="s">
        <v>16</v>
      </c>
      <c r="F112" s="14">
        <v>0</v>
      </c>
      <c r="G112" s="14">
        <v>329.6000</v>
      </c>
      <c r="H112" s="14">
        <v>0</v>
      </c>
      <c r="I112" s="14">
        <v>329.6000</v>
      </c>
      <c r="J112" s="13" t="s">
        <v>40</v>
      </c>
    </row>
    <row r="113" ht="31.65" customHeight="true" customFormat="true" s="8">
      <c r="A113" s="12">
        <v>44238</v>
      </c>
      <c r="B113" s="13" t="s">
        <v>36</v>
      </c>
      <c r="C113" s="18" t="s">
        <v>158</v>
      </c>
      <c r="D113" s="13" t="s">
        <v>157</v>
      </c>
      <c r="E113" s="13" t="s">
        <v>16</v>
      </c>
      <c r="F113" s="14">
        <v>0</v>
      </c>
      <c r="G113" s="14">
        <v>171.4300</v>
      </c>
      <c r="H113" s="14">
        <v>0</v>
      </c>
      <c r="I113" s="14">
        <v>171.4300</v>
      </c>
      <c r="J113" s="13" t="s">
        <v>31</v>
      </c>
    </row>
    <row r="114" ht="10.95" customHeight="true" customFormat="true" s="8">
      <c r="A114" s="12">
        <v>44242</v>
      </c>
      <c r="B114" s="13" t="s">
        <v>36</v>
      </c>
      <c r="C114" s="13" t="s">
        <v>159</v>
      </c>
      <c r="D114" s="13" t="s">
        <v>160</v>
      </c>
      <c r="E114" s="13" t="s">
        <v>16</v>
      </c>
      <c r="F114" s="14">
        <v>0</v>
      </c>
      <c r="G114" s="14">
        <v>1100.0000</v>
      </c>
      <c r="H114" s="14">
        <v>0</v>
      </c>
      <c r="I114" s="14">
        <v>1100.0000</v>
      </c>
      <c r="J114" s="13" t="s">
        <v>17</v>
      </c>
    </row>
    <row r="115" ht="10.95" customHeight="true" customFormat="true" s="8">
      <c r="A115" s="12">
        <v>44242</v>
      </c>
      <c r="B115" s="13" t="s">
        <v>36</v>
      </c>
      <c r="C115" s="13" t="s">
        <v>159</v>
      </c>
      <c r="D115" s="13" t="s">
        <v>161</v>
      </c>
      <c r="E115" s="13" t="s">
        <v>16</v>
      </c>
      <c r="F115" s="14">
        <v>0</v>
      </c>
      <c r="G115" s="14">
        <v>1100.0000</v>
      </c>
      <c r="H115" s="14">
        <v>0</v>
      </c>
      <c r="I115" s="14">
        <v>1100.0000</v>
      </c>
      <c r="J115" s="13" t="s">
        <v>17</v>
      </c>
    </row>
    <row r="116" ht="10.95" customHeight="true" customFormat="true" s="8">
      <c r="A116" s="12">
        <v>44242</v>
      </c>
      <c r="B116" s="13" t="s">
        <v>36</v>
      </c>
      <c r="C116" s="13" t="s">
        <v>159</v>
      </c>
      <c r="D116" s="13" t="s">
        <v>162</v>
      </c>
      <c r="E116" s="13" t="s">
        <v>16</v>
      </c>
      <c r="F116" s="14">
        <v>0</v>
      </c>
      <c r="G116" s="14">
        <v>1100.0000</v>
      </c>
      <c r="H116" s="14">
        <v>0</v>
      </c>
      <c r="I116" s="14">
        <v>1100.0000</v>
      </c>
      <c r="J116" s="13" t="s">
        <v>17</v>
      </c>
    </row>
    <row r="117" ht="31.65" customHeight="true" customFormat="true" s="8">
      <c r="A117" s="12">
        <v>44250</v>
      </c>
      <c r="B117" s="13" t="s">
        <v>36</v>
      </c>
      <c r="C117" s="18" t="s">
        <v>163</v>
      </c>
      <c r="D117" s="13" t="s">
        <v>164</v>
      </c>
      <c r="E117" s="13" t="s">
        <v>16</v>
      </c>
      <c r="F117" s="14">
        <v>0</v>
      </c>
      <c r="G117" s="14">
        <v>2785.7100</v>
      </c>
      <c r="H117" s="14">
        <v>0</v>
      </c>
      <c r="I117" s="14">
        <v>2785.7100</v>
      </c>
      <c r="J117" s="13" t="s">
        <v>40</v>
      </c>
    </row>
    <row r="118" ht="31.65" customHeight="true" customFormat="true" s="8">
      <c r="A118" s="12">
        <v>44250</v>
      </c>
      <c r="B118" s="13" t="s">
        <v>36</v>
      </c>
      <c r="C118" s="18" t="s">
        <v>165</v>
      </c>
      <c r="D118" s="13" t="s">
        <v>164</v>
      </c>
      <c r="E118" s="13" t="s">
        <v>16</v>
      </c>
      <c r="F118" s="14">
        <v>0</v>
      </c>
      <c r="G118" s="14">
        <v>2571.4500</v>
      </c>
      <c r="H118" s="14">
        <v>0</v>
      </c>
      <c r="I118" s="14">
        <v>2571.4500</v>
      </c>
      <c r="J118" s="13" t="s">
        <v>31</v>
      </c>
    </row>
    <row r="119" ht="62.7" customHeight="true" customFormat="true" s="8">
      <c r="A119" s="12">
        <v>44250</v>
      </c>
      <c r="B119" s="13" t="s">
        <v>36</v>
      </c>
      <c r="C119" s="18" t="s">
        <v>166</v>
      </c>
      <c r="D119" s="13" t="s">
        <v>164</v>
      </c>
      <c r="E119" s="13" t="s">
        <v>16</v>
      </c>
      <c r="F119" s="14">
        <v>0</v>
      </c>
      <c r="G119" s="14">
        <v>857.1500</v>
      </c>
      <c r="H119" s="14">
        <v>0</v>
      </c>
      <c r="I119" s="14">
        <v>857.1500</v>
      </c>
      <c r="J119" s="13" t="s">
        <v>31</v>
      </c>
    </row>
    <row r="120" ht="21.3" customHeight="true" customFormat="true" s="8">
      <c r="A120" s="12">
        <v>44250</v>
      </c>
      <c r="B120" s="13" t="s">
        <v>36</v>
      </c>
      <c r="C120" s="18" t="s">
        <v>167</v>
      </c>
      <c r="D120" s="13" t="s">
        <v>164</v>
      </c>
      <c r="E120" s="13" t="s">
        <v>16</v>
      </c>
      <c r="F120" s="14">
        <v>0</v>
      </c>
      <c r="G120" s="14">
        <v>1866.6400</v>
      </c>
      <c r="H120" s="14">
        <v>0</v>
      </c>
      <c r="I120" s="14">
        <v>1866.6400</v>
      </c>
      <c r="J120" s="13" t="s">
        <v>40</v>
      </c>
    </row>
    <row r="121" ht="10.95" customHeight="true" customFormat="true" s="8">
      <c r="A121" s="12">
        <v>44302</v>
      </c>
      <c r="B121" s="13" t="s">
        <v>36</v>
      </c>
      <c r="C121" s="13" t="s">
        <v>159</v>
      </c>
      <c r="D121" s="13" t="s">
        <v>168</v>
      </c>
      <c r="E121" s="13" t="s">
        <v>16</v>
      </c>
      <c r="F121" s="14">
        <v>0</v>
      </c>
      <c r="G121" s="14">
        <v>1100.0000</v>
      </c>
      <c r="H121" s="14">
        <v>0</v>
      </c>
      <c r="I121" s="14">
        <v>1100.0000</v>
      </c>
      <c r="J121" s="13" t="s">
        <v>17</v>
      </c>
    </row>
    <row r="122" ht="10.95" customHeight="true" customFormat="true" s="8">
      <c r="A122" s="12">
        <v>44320</v>
      </c>
      <c r="B122" s="13" t="s">
        <v>36</v>
      </c>
      <c r="C122" s="13" t="s">
        <v>169</v>
      </c>
      <c r="D122" s="13" t="s">
        <v>170</v>
      </c>
      <c r="E122" s="13" t="s">
        <v>16</v>
      </c>
      <c r="F122" s="14">
        <v>0</v>
      </c>
      <c r="G122" s="14">
        <v>54326.7700</v>
      </c>
      <c r="H122" s="14">
        <v>0</v>
      </c>
      <c r="I122" s="14">
        <v>54326.7700</v>
      </c>
      <c r="J122" s="13" t="s">
        <v>40</v>
      </c>
    </row>
    <row r="123" ht="42" customHeight="true" customFormat="true" s="8">
      <c r="A123" s="12">
        <v>44333</v>
      </c>
      <c r="B123" s="13" t="s">
        <v>36</v>
      </c>
      <c r="C123" s="18" t="s">
        <v>171</v>
      </c>
      <c r="D123" s="13" t="s">
        <v>172</v>
      </c>
      <c r="E123" s="13" t="s">
        <v>16</v>
      </c>
      <c r="F123" s="14">
        <v>0</v>
      </c>
      <c r="G123" s="14">
        <v>684.0000</v>
      </c>
      <c r="H123" s="14">
        <v>0</v>
      </c>
      <c r="I123" s="14">
        <v>684.0000</v>
      </c>
      <c r="J123" s="13" t="s">
        <v>40</v>
      </c>
    </row>
    <row r="124" ht="10.95" customHeight="true" customFormat="true" s="8">
      <c r="A124" s="12">
        <v>44333</v>
      </c>
      <c r="B124" s="13" t="s">
        <v>36</v>
      </c>
      <c r="C124" s="13" t="s">
        <v>173</v>
      </c>
      <c r="D124" s="13" t="s">
        <v>174</v>
      </c>
      <c r="E124" s="13" t="s">
        <v>16</v>
      </c>
      <c r="F124" s="14">
        <v>0</v>
      </c>
      <c r="G124" s="14">
        <v>458.1400</v>
      </c>
      <c r="H124" s="14">
        <v>0</v>
      </c>
      <c r="I124" s="14">
        <v>458.1400</v>
      </c>
      <c r="J124" s="13" t="s">
        <v>40</v>
      </c>
    </row>
    <row r="125" ht="10.95" customHeight="true" customFormat="true" s="8">
      <c r="A125" s="12">
        <v>44333</v>
      </c>
      <c r="B125" s="13" t="s">
        <v>36</v>
      </c>
      <c r="C125" s="13" t="s">
        <v>175</v>
      </c>
      <c r="D125" s="13" t="s">
        <v>174</v>
      </c>
      <c r="E125" s="13" t="s">
        <v>16</v>
      </c>
      <c r="F125" s="14">
        <v>0</v>
      </c>
      <c r="G125" s="14">
        <v>25.5400</v>
      </c>
      <c r="H125" s="14">
        <v>0</v>
      </c>
      <c r="I125" s="14">
        <v>25.5400</v>
      </c>
      <c r="J125" s="13" t="s">
        <v>40</v>
      </c>
    </row>
    <row r="126" ht="10.95" customHeight="true" customFormat="true" s="8">
      <c r="A126" s="12">
        <v>44333</v>
      </c>
      <c r="B126" s="13" t="s">
        <v>36</v>
      </c>
      <c r="C126" s="13" t="s">
        <v>176</v>
      </c>
      <c r="D126" s="13" t="s">
        <v>174</v>
      </c>
      <c r="E126" s="13" t="s">
        <v>16</v>
      </c>
      <c r="F126" s="14">
        <v>0</v>
      </c>
      <c r="G126" s="14">
        <v>171.4300</v>
      </c>
      <c r="H126" s="14">
        <v>0</v>
      </c>
      <c r="I126" s="14">
        <v>171.4300</v>
      </c>
      <c r="J126" s="13" t="s">
        <v>31</v>
      </c>
    </row>
    <row r="127" ht="10.95" customHeight="true" customFormat="true" s="8">
      <c r="A127" s="12">
        <v>44335</v>
      </c>
      <c r="B127" s="13" t="s">
        <v>36</v>
      </c>
      <c r="C127" s="13" t="s">
        <v>177</v>
      </c>
      <c r="D127" s="13" t="s">
        <v>178</v>
      </c>
      <c r="E127" s="13" t="s">
        <v>16</v>
      </c>
      <c r="F127" s="14">
        <v>0</v>
      </c>
      <c r="G127" s="14">
        <v>916.6700</v>
      </c>
      <c r="H127" s="14">
        <v>0</v>
      </c>
      <c r="I127" s="14">
        <v>916.6700</v>
      </c>
      <c r="J127" s="13" t="s">
        <v>17</v>
      </c>
    </row>
    <row r="128" ht="42" customHeight="true" customFormat="true" s="8">
      <c r="A128" s="12">
        <v>44372</v>
      </c>
      <c r="B128" s="13" t="s">
        <v>36</v>
      </c>
      <c r="C128" s="18" t="s">
        <v>179</v>
      </c>
      <c r="D128" s="13" t="s">
        <v>180</v>
      </c>
      <c r="E128" s="13" t="s">
        <v>16</v>
      </c>
      <c r="F128" s="14">
        <v>0</v>
      </c>
      <c r="G128" s="14">
        <v>1026.0000</v>
      </c>
      <c r="H128" s="14">
        <v>0</v>
      </c>
      <c r="I128" s="14">
        <v>1026.0000</v>
      </c>
      <c r="J128" s="13" t="s">
        <v>40</v>
      </c>
    </row>
    <row r="129" ht="62.7" customHeight="true" customFormat="true" s="8">
      <c r="A129" s="12">
        <v>44372</v>
      </c>
      <c r="B129" s="13" t="s">
        <v>36</v>
      </c>
      <c r="C129" s="18" t="s">
        <v>181</v>
      </c>
      <c r="D129" s="13" t="s">
        <v>182</v>
      </c>
      <c r="E129" s="13" t="s">
        <v>16</v>
      </c>
      <c r="F129" s="14">
        <v>0</v>
      </c>
      <c r="G129" s="14">
        <v>317.4500</v>
      </c>
      <c r="H129" s="14">
        <v>0</v>
      </c>
      <c r="I129" s="14">
        <v>317.4500</v>
      </c>
      <c r="J129" s="13" t="s">
        <v>17</v>
      </c>
    </row>
    <row r="130" ht="10.95" customHeight="true" customFormat="true" s="8">
      <c r="A130" s="12">
        <v>44385</v>
      </c>
      <c r="B130" s="13" t="s">
        <v>36</v>
      </c>
      <c r="C130" s="13" t="s">
        <v>183</v>
      </c>
      <c r="D130" s="13" t="s">
        <v>184</v>
      </c>
      <c r="E130" s="13" t="s">
        <v>16</v>
      </c>
      <c r="F130" s="14">
        <v>0</v>
      </c>
      <c r="G130" s="14">
        <v>3200.0000</v>
      </c>
      <c r="H130" s="14">
        <v>0</v>
      </c>
      <c r="I130" s="14">
        <v>3200.0000</v>
      </c>
      <c r="J130" s="13" t="s">
        <v>40</v>
      </c>
    </row>
    <row r="131" ht="21.3" customHeight="true" customFormat="true" s="8">
      <c r="A131" s="12">
        <v>44385</v>
      </c>
      <c r="B131" s="13" t="s">
        <v>36</v>
      </c>
      <c r="C131" s="18" t="s">
        <v>185</v>
      </c>
      <c r="D131" s="13" t="s">
        <v>184</v>
      </c>
      <c r="E131" s="13" t="s">
        <v>16</v>
      </c>
      <c r="F131" s="14">
        <v>0</v>
      </c>
      <c r="G131" s="14">
        <v>1165.6800</v>
      </c>
      <c r="H131" s="14">
        <v>0</v>
      </c>
      <c r="I131" s="14">
        <v>1165.6800</v>
      </c>
      <c r="J131" s="13" t="s">
        <v>40</v>
      </c>
    </row>
    <row r="132" ht="21.3" customHeight="true" customFormat="true" s="8">
      <c r="A132" s="12">
        <v>44385</v>
      </c>
      <c r="B132" s="13" t="s">
        <v>36</v>
      </c>
      <c r="C132" s="18" t="s">
        <v>186</v>
      </c>
      <c r="D132" s="13" t="s">
        <v>184</v>
      </c>
      <c r="E132" s="13" t="s">
        <v>16</v>
      </c>
      <c r="F132" s="14">
        <v>0</v>
      </c>
      <c r="G132" s="14">
        <v>1142.8600</v>
      </c>
      <c r="H132" s="14">
        <v>0</v>
      </c>
      <c r="I132" s="14">
        <v>1142.8600</v>
      </c>
      <c r="J132" s="13" t="s">
        <v>40</v>
      </c>
    </row>
    <row r="133" ht="21.3" customHeight="true" customFormat="true" s="8">
      <c r="A133" s="12">
        <v>44385</v>
      </c>
      <c r="B133" s="13" t="s">
        <v>36</v>
      </c>
      <c r="C133" s="18" t="s">
        <v>187</v>
      </c>
      <c r="D133" s="13" t="s">
        <v>184</v>
      </c>
      <c r="E133" s="13" t="s">
        <v>16</v>
      </c>
      <c r="F133" s="14">
        <v>0</v>
      </c>
      <c r="G133" s="14">
        <v>1474.9200</v>
      </c>
      <c r="H133" s="14">
        <v>0</v>
      </c>
      <c r="I133" s="14">
        <v>1474.9200</v>
      </c>
      <c r="J133" s="13" t="s">
        <v>40</v>
      </c>
    </row>
    <row r="134" ht="21.3" customHeight="true" customFormat="true" s="8">
      <c r="A134" s="12">
        <v>44385</v>
      </c>
      <c r="B134" s="13" t="s">
        <v>36</v>
      </c>
      <c r="C134" s="18" t="s">
        <v>188</v>
      </c>
      <c r="D134" s="13" t="s">
        <v>184</v>
      </c>
      <c r="E134" s="13" t="s">
        <v>16</v>
      </c>
      <c r="F134" s="14">
        <v>0</v>
      </c>
      <c r="G134" s="14">
        <v>200.0000</v>
      </c>
      <c r="H134" s="14">
        <v>0</v>
      </c>
      <c r="I134" s="14">
        <v>200.0000</v>
      </c>
      <c r="J134" s="13" t="s">
        <v>40</v>
      </c>
    </row>
    <row r="135" ht="21.3" customHeight="true" customFormat="true" s="8">
      <c r="A135" s="12">
        <v>44385</v>
      </c>
      <c r="B135" s="13" t="s">
        <v>36</v>
      </c>
      <c r="C135" s="18" t="s">
        <v>189</v>
      </c>
      <c r="D135" s="13" t="s">
        <v>184</v>
      </c>
      <c r="E135" s="13" t="s">
        <v>16</v>
      </c>
      <c r="F135" s="14">
        <v>0</v>
      </c>
      <c r="G135" s="14">
        <v>928.5700</v>
      </c>
      <c r="H135" s="14">
        <v>0</v>
      </c>
      <c r="I135" s="14">
        <v>928.5700</v>
      </c>
      <c r="J135" s="13" t="s">
        <v>40</v>
      </c>
    </row>
    <row r="136" ht="10.95" customHeight="true" customFormat="true" s="8">
      <c r="A136" s="12">
        <v>44385</v>
      </c>
      <c r="B136" s="13" t="s">
        <v>36</v>
      </c>
      <c r="C136" s="13" t="s">
        <v>190</v>
      </c>
      <c r="D136" s="13" t="s">
        <v>184</v>
      </c>
      <c r="E136" s="13" t="s">
        <v>16</v>
      </c>
      <c r="F136" s="14">
        <v>0</v>
      </c>
      <c r="G136" s="14">
        <v>51.9900</v>
      </c>
      <c r="H136" s="14">
        <v>0</v>
      </c>
      <c r="I136" s="14">
        <v>51.9900</v>
      </c>
      <c r="J136" s="13" t="s">
        <v>40</v>
      </c>
    </row>
    <row r="137" ht="10.95" customHeight="true" customFormat="true" s="8">
      <c r="A137" s="12">
        <v>44385</v>
      </c>
      <c r="B137" s="13" t="s">
        <v>36</v>
      </c>
      <c r="C137" s="13" t="s">
        <v>191</v>
      </c>
      <c r="D137" s="13" t="s">
        <v>184</v>
      </c>
      <c r="E137" s="13" t="s">
        <v>16</v>
      </c>
      <c r="F137" s="14">
        <v>0</v>
      </c>
      <c r="G137" s="14">
        <v>8544.0000</v>
      </c>
      <c r="H137" s="14">
        <v>0</v>
      </c>
      <c r="I137" s="14">
        <v>8544.0000</v>
      </c>
      <c r="J137" s="13" t="s">
        <v>40</v>
      </c>
    </row>
    <row r="138" ht="10.95" customHeight="true" customFormat="true" s="8">
      <c r="A138" s="12">
        <v>44385</v>
      </c>
      <c r="B138" s="13" t="s">
        <v>36</v>
      </c>
      <c r="C138" s="13" t="s">
        <v>192</v>
      </c>
      <c r="D138" s="13" t="s">
        <v>184</v>
      </c>
      <c r="E138" s="13" t="s">
        <v>16</v>
      </c>
      <c r="F138" s="14">
        <v>0</v>
      </c>
      <c r="G138" s="14">
        <v>5000.0000</v>
      </c>
      <c r="H138" s="14">
        <v>0</v>
      </c>
      <c r="I138" s="14">
        <v>5000.0000</v>
      </c>
      <c r="J138" s="13" t="s">
        <v>40</v>
      </c>
    </row>
    <row r="139" ht="31.65" customHeight="true" customFormat="true" s="8">
      <c r="A139" s="12">
        <v>44385</v>
      </c>
      <c r="B139" s="13" t="s">
        <v>36</v>
      </c>
      <c r="C139" s="18" t="s">
        <v>193</v>
      </c>
      <c r="D139" s="13" t="s">
        <v>194</v>
      </c>
      <c r="E139" s="13" t="s">
        <v>16</v>
      </c>
      <c r="F139" s="14">
        <v>0</v>
      </c>
      <c r="G139" s="14">
        <v>18914.0000</v>
      </c>
      <c r="H139" s="14">
        <v>0</v>
      </c>
      <c r="I139" s="14">
        <v>18914.0000</v>
      </c>
      <c r="J139" s="13" t="s">
        <v>56</v>
      </c>
    </row>
    <row r="140" ht="10.95" customHeight="true" customFormat="true" s="8">
      <c r="A140" s="12">
        <v>44409</v>
      </c>
      <c r="B140" s="13" t="s">
        <v>36</v>
      </c>
      <c r="C140" s="13" t="s">
        <v>195</v>
      </c>
      <c r="D140" s="13" t="s">
        <v>196</v>
      </c>
      <c r="E140" s="13" t="s">
        <v>16</v>
      </c>
      <c r="F140" s="14">
        <v>0</v>
      </c>
      <c r="G140" s="14">
        <v>983.2800</v>
      </c>
      <c r="H140" s="14">
        <v>0</v>
      </c>
      <c r="I140" s="14">
        <v>983.2800</v>
      </c>
      <c r="J140" s="13" t="s">
        <v>40</v>
      </c>
    </row>
    <row r="141" ht="10.95" customHeight="true" customFormat="true" s="8">
      <c r="A141" s="12">
        <v>44409</v>
      </c>
      <c r="B141" s="13" t="s">
        <v>36</v>
      </c>
      <c r="C141" s="13" t="s">
        <v>197</v>
      </c>
      <c r="D141" s="13" t="s">
        <v>196</v>
      </c>
      <c r="E141" s="13" t="s">
        <v>16</v>
      </c>
      <c r="F141" s="14">
        <v>0</v>
      </c>
      <c r="G141" s="14">
        <v>1600.0000</v>
      </c>
      <c r="H141" s="14">
        <v>0</v>
      </c>
      <c r="I141" s="14">
        <v>1600.0000</v>
      </c>
      <c r="J141" s="13" t="s">
        <v>40</v>
      </c>
    </row>
    <row r="142" ht="10.95" customHeight="true" customFormat="true" s="8">
      <c r="A142" s="12">
        <v>44409</v>
      </c>
      <c r="B142" s="13" t="s">
        <v>36</v>
      </c>
      <c r="C142" s="13" t="s">
        <v>198</v>
      </c>
      <c r="D142" s="13" t="s">
        <v>196</v>
      </c>
      <c r="E142" s="13" t="s">
        <v>16</v>
      </c>
      <c r="F142" s="14">
        <v>0</v>
      </c>
      <c r="G142" s="14">
        <v>4571.4400</v>
      </c>
      <c r="H142" s="14">
        <v>0</v>
      </c>
      <c r="I142" s="14">
        <v>4571.4400</v>
      </c>
      <c r="J142" s="13" t="s">
        <v>31</v>
      </c>
    </row>
    <row r="143" ht="10.95" customHeight="true" customFormat="true" s="8">
      <c r="A143" s="12">
        <v>44409</v>
      </c>
      <c r="B143" s="13" t="s">
        <v>36</v>
      </c>
      <c r="C143" s="13" t="s">
        <v>199</v>
      </c>
      <c r="D143" s="13" t="s">
        <v>196</v>
      </c>
      <c r="E143" s="13" t="s">
        <v>16</v>
      </c>
      <c r="F143" s="14">
        <v>0</v>
      </c>
      <c r="G143" s="14">
        <v>320.0000</v>
      </c>
      <c r="H143" s="14">
        <v>0</v>
      </c>
      <c r="I143" s="14">
        <v>320.0000</v>
      </c>
      <c r="J143" s="13" t="s">
        <v>40</v>
      </c>
    </row>
    <row r="144" ht="10.95" customHeight="true" customFormat="true" s="8">
      <c r="A144" s="12">
        <v>44409</v>
      </c>
      <c r="B144" s="13" t="s">
        <v>36</v>
      </c>
      <c r="C144" s="13" t="s">
        <v>200</v>
      </c>
      <c r="D144" s="13" t="s">
        <v>196</v>
      </c>
      <c r="E144" s="13" t="s">
        <v>16</v>
      </c>
      <c r="F144" s="14">
        <v>0</v>
      </c>
      <c r="G144" s="14">
        <v>228.5600</v>
      </c>
      <c r="H144" s="14">
        <v>0</v>
      </c>
      <c r="I144" s="14">
        <v>228.5600</v>
      </c>
      <c r="J144" s="13" t="s">
        <v>40</v>
      </c>
    </row>
    <row r="145" ht="10.95" customHeight="true" customFormat="true" s="8">
      <c r="A145" s="12">
        <v>44409</v>
      </c>
      <c r="B145" s="13" t="s">
        <v>36</v>
      </c>
      <c r="C145" s="13" t="s">
        <v>201</v>
      </c>
      <c r="D145" s="13" t="s">
        <v>202</v>
      </c>
      <c r="E145" s="13" t="s">
        <v>16</v>
      </c>
      <c r="F145" s="14">
        <v>0</v>
      </c>
      <c r="G145" s="14">
        <v>1100.0000</v>
      </c>
      <c r="H145" s="14">
        <v>0</v>
      </c>
      <c r="I145" s="14">
        <v>1100.0000</v>
      </c>
      <c r="J145" s="13" t="s">
        <v>17</v>
      </c>
    </row>
    <row r="146" ht="31.65" customHeight="true" customFormat="true" s="8">
      <c r="A146" s="12">
        <v>44456</v>
      </c>
      <c r="B146" s="13" t="s">
        <v>36</v>
      </c>
      <c r="C146" s="18" t="s">
        <v>203</v>
      </c>
      <c r="D146" s="13" t="s">
        <v>204</v>
      </c>
      <c r="E146" s="13" t="s">
        <v>16</v>
      </c>
      <c r="F146" s="14">
        <v>0</v>
      </c>
      <c r="G146" s="14">
        <v>160.0000</v>
      </c>
      <c r="H146" s="14">
        <v>0</v>
      </c>
      <c r="I146" s="14">
        <v>160.0000</v>
      </c>
      <c r="J146" s="13" t="s">
        <v>40</v>
      </c>
    </row>
    <row r="147" ht="10.95" customHeight="true" customFormat="true" s="8">
      <c r="A147" s="12">
        <v>44549</v>
      </c>
      <c r="B147" s="13" t="s">
        <v>36</v>
      </c>
      <c r="C147" s="13" t="s">
        <v>197</v>
      </c>
      <c r="D147" s="13" t="s">
        <v>205</v>
      </c>
      <c r="E147" s="13" t="s">
        <v>16</v>
      </c>
      <c r="F147" s="14">
        <v>0</v>
      </c>
      <c r="G147" s="14">
        <v>1600.0000</v>
      </c>
      <c r="H147" s="14">
        <v>0</v>
      </c>
      <c r="I147" s="14">
        <v>1600.0000</v>
      </c>
      <c r="J147" s="13" t="s">
        <v>40</v>
      </c>
    </row>
    <row r="148" ht="10.95" customHeight="true" customFormat="true" s="8">
      <c r="A148" s="12">
        <v>44553</v>
      </c>
      <c r="B148" s="13" t="s">
        <v>36</v>
      </c>
      <c r="C148" s="13" t="s">
        <v>206</v>
      </c>
      <c r="D148" s="13" t="s">
        <v>207</v>
      </c>
      <c r="E148" s="13" t="s">
        <v>16</v>
      </c>
      <c r="F148" s="14">
        <v>0</v>
      </c>
      <c r="G148" s="14">
        <v>74.1700</v>
      </c>
      <c r="H148" s="14">
        <v>0</v>
      </c>
      <c r="I148" s="14">
        <v>74.1700</v>
      </c>
      <c r="J148" s="13" t="s">
        <v>17</v>
      </c>
    </row>
    <row r="149" ht="10.95" customHeight="true" customFormat="true" s="8">
      <c r="A149" s="12">
        <v>44553</v>
      </c>
      <c r="B149" s="13" t="s">
        <v>153</v>
      </c>
      <c r="C149" s="13" t="s">
        <v>208</v>
      </c>
      <c r="D149" s="13" t="s">
        <v>209</v>
      </c>
      <c r="E149" s="13" t="s">
        <v>16</v>
      </c>
      <c r="F149" s="14">
        <v>0</v>
      </c>
      <c r="G149" s="14">
        <v>1.0400</v>
      </c>
      <c r="H149" s="14">
        <v>0</v>
      </c>
      <c r="I149" s="14">
        <v>1.0400</v>
      </c>
      <c r="J149" s="13" t="s">
        <v>56</v>
      </c>
    </row>
    <row r="150" ht="10.95" customHeight="true" customFormat="true" s="8">
      <c r="A150" s="12">
        <v>44553</v>
      </c>
      <c r="B150" s="13" t="s">
        <v>153</v>
      </c>
      <c r="C150" s="13" t="s">
        <v>210</v>
      </c>
      <c r="D150" s="13" t="s">
        <v>211</v>
      </c>
      <c r="E150" s="13" t="s">
        <v>16</v>
      </c>
      <c r="F150" s="14">
        <v>0</v>
      </c>
      <c r="G150" s="14">
        <v>1.8700</v>
      </c>
      <c r="H150" s="14">
        <v>0</v>
      </c>
      <c r="I150" s="14">
        <v>1.8700</v>
      </c>
      <c r="J150" s="13" t="s">
        <v>56</v>
      </c>
    </row>
    <row r="151" ht="10.95" customHeight="true" customFormat="true" s="8">
      <c r="A151" s="12">
        <v>44582</v>
      </c>
      <c r="B151" s="13" t="s">
        <v>36</v>
      </c>
      <c r="C151" s="13" t="s">
        <v>212</v>
      </c>
      <c r="D151" s="13" t="s">
        <v>213</v>
      </c>
      <c r="E151" s="13" t="s">
        <v>16</v>
      </c>
      <c r="F151" s="14">
        <v>0</v>
      </c>
      <c r="G151" s="14">
        <v>623.3500</v>
      </c>
      <c r="H151" s="14">
        <v>0</v>
      </c>
      <c r="I151" s="14">
        <v>623.3500</v>
      </c>
      <c r="J151" s="13" t="s">
        <v>40</v>
      </c>
    </row>
    <row r="152" ht="10.95" customHeight="true" customFormat="true" s="8">
      <c r="A152" s="12">
        <v>44582</v>
      </c>
      <c r="B152" s="13" t="s">
        <v>36</v>
      </c>
      <c r="C152" s="13" t="s">
        <v>214</v>
      </c>
      <c r="D152" s="13" t="s">
        <v>213</v>
      </c>
      <c r="E152" s="13" t="s">
        <v>16</v>
      </c>
      <c r="F152" s="14">
        <v>0</v>
      </c>
      <c r="G152" s="14">
        <v>300.0000</v>
      </c>
      <c r="H152" s="14">
        <v>0</v>
      </c>
      <c r="I152" s="14">
        <v>300.0000</v>
      </c>
      <c r="J152" s="13" t="s">
        <v>40</v>
      </c>
    </row>
    <row r="153" ht="10.95" customHeight="true" customFormat="true" s="8">
      <c r="A153" s="12">
        <v>44582</v>
      </c>
      <c r="B153" s="13" t="s">
        <v>36</v>
      </c>
      <c r="C153" s="13" t="s">
        <v>215</v>
      </c>
      <c r="D153" s="13" t="s">
        <v>213</v>
      </c>
      <c r="E153" s="13" t="s">
        <v>16</v>
      </c>
      <c r="F153" s="14">
        <v>0</v>
      </c>
      <c r="G153" s="14">
        <v>89.7200</v>
      </c>
      <c r="H153" s="14">
        <v>0</v>
      </c>
      <c r="I153" s="14">
        <v>89.7200</v>
      </c>
      <c r="J153" s="13" t="s">
        <v>40</v>
      </c>
    </row>
    <row r="154" ht="10.95" customHeight="true" customFormat="true" s="8">
      <c r="A154" s="12">
        <v>44582</v>
      </c>
      <c r="B154" s="13" t="s">
        <v>36</v>
      </c>
      <c r="C154" s="13" t="s">
        <v>216</v>
      </c>
      <c r="D154" s="13" t="s">
        <v>213</v>
      </c>
      <c r="E154" s="13" t="s">
        <v>16</v>
      </c>
      <c r="F154" s="14">
        <v>0</v>
      </c>
      <c r="G154" s="14">
        <v>171.4300</v>
      </c>
      <c r="H154" s="14">
        <v>0</v>
      </c>
      <c r="I154" s="14">
        <v>171.4300</v>
      </c>
      <c r="J154" s="13" t="s">
        <v>31</v>
      </c>
    </row>
    <row r="155" ht="31.65" customHeight="true" customFormat="true" s="8">
      <c r="A155" s="12">
        <v>44631</v>
      </c>
      <c r="B155" s="13" t="s">
        <v>36</v>
      </c>
      <c r="C155" s="18" t="s">
        <v>217</v>
      </c>
      <c r="D155" s="13" t="s">
        <v>218</v>
      </c>
      <c r="E155" s="13" t="s">
        <v>16</v>
      </c>
      <c r="F155" s="14">
        <v>0</v>
      </c>
      <c r="G155" s="14">
        <v>6864.0000</v>
      </c>
      <c r="H155" s="14">
        <v>0</v>
      </c>
      <c r="I155" s="14">
        <v>6864.0000</v>
      </c>
      <c r="J155" s="13" t="s">
        <v>40</v>
      </c>
    </row>
    <row r="156" ht="21.3" customHeight="true" customFormat="true" s="8">
      <c r="A156" s="12">
        <v>44631</v>
      </c>
      <c r="B156" s="13" t="s">
        <v>36</v>
      </c>
      <c r="C156" s="18" t="s">
        <v>219</v>
      </c>
      <c r="D156" s="13" t="s">
        <v>218</v>
      </c>
      <c r="E156" s="13" t="s">
        <v>16</v>
      </c>
      <c r="F156" s="14">
        <v>0</v>
      </c>
      <c r="G156" s="14">
        <v>744.0000</v>
      </c>
      <c r="H156" s="14">
        <v>0</v>
      </c>
      <c r="I156" s="14">
        <v>744.0000</v>
      </c>
      <c r="J156" s="13" t="s">
        <v>40</v>
      </c>
    </row>
    <row r="157" ht="10.95" customHeight="true" customFormat="true" s="8">
      <c r="A157" s="12">
        <v>44631</v>
      </c>
      <c r="B157" s="13" t="s">
        <v>36</v>
      </c>
      <c r="C157" s="13" t="s">
        <v>220</v>
      </c>
      <c r="D157" s="13" t="s">
        <v>218</v>
      </c>
      <c r="E157" s="13" t="s">
        <v>16</v>
      </c>
      <c r="F157" s="14">
        <v>0</v>
      </c>
      <c r="G157" s="14">
        <v>1229.0000</v>
      </c>
      <c r="H157" s="14">
        <v>0</v>
      </c>
      <c r="I157" s="14">
        <v>1229.0000</v>
      </c>
      <c r="J157" s="13" t="s">
        <v>40</v>
      </c>
    </row>
    <row r="158" ht="21.3" customHeight="true" customFormat="true" s="8">
      <c r="A158" s="12">
        <v>44631</v>
      </c>
      <c r="B158" s="13" t="s">
        <v>36</v>
      </c>
      <c r="C158" s="18" t="s">
        <v>221</v>
      </c>
      <c r="D158" s="13" t="s">
        <v>218</v>
      </c>
      <c r="E158" s="13" t="s">
        <v>16</v>
      </c>
      <c r="F158" s="14">
        <v>0</v>
      </c>
      <c r="G158" s="14">
        <v>3428.5800</v>
      </c>
      <c r="H158" s="14">
        <v>0</v>
      </c>
      <c r="I158" s="14">
        <v>3428.5800</v>
      </c>
      <c r="J158" s="13" t="s">
        <v>31</v>
      </c>
    </row>
    <row r="159" ht="21.3" customHeight="true" customFormat="true" s="8">
      <c r="A159" s="12">
        <v>44631</v>
      </c>
      <c r="B159" s="13" t="s">
        <v>36</v>
      </c>
      <c r="C159" s="18" t="s">
        <v>222</v>
      </c>
      <c r="D159" s="13" t="s">
        <v>218</v>
      </c>
      <c r="E159" s="13" t="s">
        <v>16</v>
      </c>
      <c r="F159" s="14">
        <v>0</v>
      </c>
      <c r="G159" s="14">
        <v>114.2800</v>
      </c>
      <c r="H159" s="14">
        <v>0</v>
      </c>
      <c r="I159" s="14">
        <v>114.2800</v>
      </c>
      <c r="J159" s="13" t="s">
        <v>40</v>
      </c>
    </row>
    <row r="160" ht="10.95" customHeight="true" customFormat="true" s="8">
      <c r="A160" s="12">
        <v>44631</v>
      </c>
      <c r="B160" s="13" t="s">
        <v>36</v>
      </c>
      <c r="C160" s="13" t="s">
        <v>223</v>
      </c>
      <c r="D160" s="13" t="s">
        <v>218</v>
      </c>
      <c r="E160" s="13" t="s">
        <v>16</v>
      </c>
      <c r="F160" s="14">
        <v>0</v>
      </c>
      <c r="G160" s="14">
        <v>3921.0000</v>
      </c>
      <c r="H160" s="14">
        <v>0</v>
      </c>
      <c r="I160" s="14">
        <v>3921.0000</v>
      </c>
      <c r="J160" s="13" t="s">
        <v>40</v>
      </c>
    </row>
    <row r="161" ht="10.95" customHeight="true" customFormat="true" s="8">
      <c r="A161" s="12">
        <v>44631</v>
      </c>
      <c r="B161" s="13" t="s">
        <v>36</v>
      </c>
      <c r="C161" s="13" t="s">
        <v>224</v>
      </c>
      <c r="D161" s="13" t="s">
        <v>218</v>
      </c>
      <c r="E161" s="13" t="s">
        <v>16</v>
      </c>
      <c r="F161" s="14">
        <v>0</v>
      </c>
      <c r="G161" s="14">
        <v>750.0000</v>
      </c>
      <c r="H161" s="14">
        <v>0</v>
      </c>
      <c r="I161" s="14">
        <v>750.0000</v>
      </c>
      <c r="J161" s="13" t="s">
        <v>40</v>
      </c>
    </row>
    <row r="162" ht="10.95" customHeight="true" customFormat="true" s="8">
      <c r="A162" s="12">
        <v>44631</v>
      </c>
      <c r="B162" s="13" t="s">
        <v>36</v>
      </c>
      <c r="C162" s="13" t="s">
        <v>225</v>
      </c>
      <c r="D162" s="13" t="s">
        <v>218</v>
      </c>
      <c r="E162" s="13" t="s">
        <v>16</v>
      </c>
      <c r="F162" s="14">
        <v>0</v>
      </c>
      <c r="G162" s="14">
        <v>2712.6800</v>
      </c>
      <c r="H162" s="14">
        <v>0</v>
      </c>
      <c r="I162" s="14">
        <v>2712.6800</v>
      </c>
      <c r="J162" s="13" t="s">
        <v>40</v>
      </c>
    </row>
    <row r="163" ht="21.3" customHeight="true" customFormat="true" s="8">
      <c r="A163" s="12">
        <v>44631</v>
      </c>
      <c r="B163" s="13" t="s">
        <v>36</v>
      </c>
      <c r="C163" s="18" t="s">
        <v>221</v>
      </c>
      <c r="D163" s="13" t="s">
        <v>218</v>
      </c>
      <c r="E163" s="13" t="s">
        <v>16</v>
      </c>
      <c r="F163" s="14">
        <v>0</v>
      </c>
      <c r="G163" s="14">
        <v>1142.8600</v>
      </c>
      <c r="H163" s="14">
        <v>0</v>
      </c>
      <c r="I163" s="14">
        <v>1142.8600</v>
      </c>
      <c r="J163" s="13" t="s">
        <v>31</v>
      </c>
    </row>
    <row r="164" ht="21.3" customHeight="true" customFormat="true" s="8">
      <c r="A164" s="12">
        <v>44631</v>
      </c>
      <c r="B164" s="13" t="s">
        <v>36</v>
      </c>
      <c r="C164" s="18" t="s">
        <v>226</v>
      </c>
      <c r="D164" s="13" t="s">
        <v>218</v>
      </c>
      <c r="E164" s="13" t="s">
        <v>16</v>
      </c>
      <c r="F164" s="14">
        <v>0</v>
      </c>
      <c r="G164" s="14">
        <v>320.0000</v>
      </c>
      <c r="H164" s="14">
        <v>0</v>
      </c>
      <c r="I164" s="14">
        <v>320.0000</v>
      </c>
      <c r="J164" s="13" t="s">
        <v>40</v>
      </c>
    </row>
    <row r="165" ht="21.3" customHeight="true" customFormat="true" s="8">
      <c r="A165" s="12">
        <v>44631</v>
      </c>
      <c r="B165" s="13" t="s">
        <v>36</v>
      </c>
      <c r="C165" s="18" t="s">
        <v>227</v>
      </c>
      <c r="D165" s="13" t="s">
        <v>228</v>
      </c>
      <c r="E165" s="13" t="s">
        <v>16</v>
      </c>
      <c r="F165" s="14">
        <v>0</v>
      </c>
      <c r="G165" s="14">
        <v>766.4800</v>
      </c>
      <c r="H165" s="14">
        <v>0</v>
      </c>
      <c r="I165" s="14">
        <v>766.4800</v>
      </c>
      <c r="J165" s="13" t="s">
        <v>40</v>
      </c>
    </row>
    <row r="166" ht="21.3" customHeight="true" customFormat="true" s="8">
      <c r="A166" s="12">
        <v>44631</v>
      </c>
      <c r="B166" s="13" t="s">
        <v>36</v>
      </c>
      <c r="C166" s="18" t="s">
        <v>229</v>
      </c>
      <c r="D166" s="13" t="s">
        <v>228</v>
      </c>
      <c r="E166" s="13" t="s">
        <v>16</v>
      </c>
      <c r="F166" s="14">
        <v>0</v>
      </c>
      <c r="G166" s="14">
        <v>749.0600</v>
      </c>
      <c r="H166" s="14">
        <v>0</v>
      </c>
      <c r="I166" s="14">
        <v>749.0600</v>
      </c>
      <c r="J166" s="13" t="s">
        <v>40</v>
      </c>
    </row>
    <row r="167" ht="21.3" customHeight="true" customFormat="true" s="8">
      <c r="A167" s="12">
        <v>44631</v>
      </c>
      <c r="B167" s="13" t="s">
        <v>36</v>
      </c>
      <c r="C167" s="18" t="s">
        <v>230</v>
      </c>
      <c r="D167" s="13" t="s">
        <v>228</v>
      </c>
      <c r="E167" s="13" t="s">
        <v>16</v>
      </c>
      <c r="F167" s="14">
        <v>0</v>
      </c>
      <c r="G167" s="14">
        <v>592.2800</v>
      </c>
      <c r="H167" s="14">
        <v>0</v>
      </c>
      <c r="I167" s="14">
        <v>592.2800</v>
      </c>
      <c r="J167" s="13" t="s">
        <v>40</v>
      </c>
    </row>
    <row r="168" ht="21.3" customHeight="true" customFormat="true" s="8">
      <c r="A168" s="12">
        <v>44631</v>
      </c>
      <c r="B168" s="13" t="s">
        <v>36</v>
      </c>
      <c r="C168" s="18" t="s">
        <v>231</v>
      </c>
      <c r="D168" s="13" t="s">
        <v>228</v>
      </c>
      <c r="E168" s="13" t="s">
        <v>16</v>
      </c>
      <c r="F168" s="14">
        <v>0</v>
      </c>
      <c r="G168" s="14">
        <v>2961.4000</v>
      </c>
      <c r="H168" s="14">
        <v>0</v>
      </c>
      <c r="I168" s="14">
        <v>2961.4000</v>
      </c>
      <c r="J168" s="13" t="s">
        <v>40</v>
      </c>
    </row>
    <row r="169" ht="10.95" customHeight="true" customFormat="true" s="8">
      <c r="A169" s="12">
        <v>44631</v>
      </c>
      <c r="B169" s="13" t="s">
        <v>36</v>
      </c>
      <c r="C169" s="13" t="s">
        <v>195</v>
      </c>
      <c r="D169" s="13" t="s">
        <v>228</v>
      </c>
      <c r="E169" s="13" t="s">
        <v>16</v>
      </c>
      <c r="F169" s="14">
        <v>0</v>
      </c>
      <c r="G169" s="14">
        <v>491.6400</v>
      </c>
      <c r="H169" s="14">
        <v>0</v>
      </c>
      <c r="I169" s="14">
        <v>491.6400</v>
      </c>
      <c r="J169" s="13" t="s">
        <v>40</v>
      </c>
    </row>
    <row r="170" ht="21.3" customHeight="true" customFormat="true" s="8">
      <c r="A170" s="12">
        <v>44631</v>
      </c>
      <c r="B170" s="13" t="s">
        <v>36</v>
      </c>
      <c r="C170" s="18" t="s">
        <v>221</v>
      </c>
      <c r="D170" s="13" t="s">
        <v>228</v>
      </c>
      <c r="E170" s="13" t="s">
        <v>16</v>
      </c>
      <c r="F170" s="14">
        <v>0</v>
      </c>
      <c r="G170" s="14">
        <v>1142.8600</v>
      </c>
      <c r="H170" s="14">
        <v>0</v>
      </c>
      <c r="I170" s="14">
        <v>1142.8600</v>
      </c>
      <c r="J170" s="13" t="s">
        <v>31</v>
      </c>
    </row>
    <row r="171" ht="21.3" customHeight="true" customFormat="true" s="8">
      <c r="A171" s="12">
        <v>44631</v>
      </c>
      <c r="B171" s="13" t="s">
        <v>36</v>
      </c>
      <c r="C171" s="18" t="s">
        <v>222</v>
      </c>
      <c r="D171" s="13" t="s">
        <v>228</v>
      </c>
      <c r="E171" s="13" t="s">
        <v>16</v>
      </c>
      <c r="F171" s="14">
        <v>0</v>
      </c>
      <c r="G171" s="14">
        <v>57.1400</v>
      </c>
      <c r="H171" s="14">
        <v>0</v>
      </c>
      <c r="I171" s="14">
        <v>57.1400</v>
      </c>
      <c r="J171" s="13" t="s">
        <v>40</v>
      </c>
    </row>
    <row r="172" ht="10.95" customHeight="true" customFormat="true" s="8">
      <c r="A172" s="12">
        <v>44631</v>
      </c>
      <c r="B172" s="13" t="s">
        <v>36</v>
      </c>
      <c r="C172" s="13" t="s">
        <v>232</v>
      </c>
      <c r="D172" s="13" t="s">
        <v>228</v>
      </c>
      <c r="E172" s="13" t="s">
        <v>16</v>
      </c>
      <c r="F172" s="14">
        <v>0</v>
      </c>
      <c r="G172" s="14">
        <v>2583.5000</v>
      </c>
      <c r="H172" s="14">
        <v>0</v>
      </c>
      <c r="I172" s="14">
        <v>2583.5000</v>
      </c>
      <c r="J172" s="13" t="s">
        <v>40</v>
      </c>
    </row>
    <row r="173" ht="21.3" customHeight="true" customFormat="true" s="8">
      <c r="A173" s="12">
        <v>44631</v>
      </c>
      <c r="B173" s="13" t="s">
        <v>36</v>
      </c>
      <c r="C173" s="18" t="s">
        <v>221</v>
      </c>
      <c r="D173" s="13" t="s">
        <v>228</v>
      </c>
      <c r="E173" s="13" t="s">
        <v>16</v>
      </c>
      <c r="F173" s="14">
        <v>0</v>
      </c>
      <c r="G173" s="14">
        <v>1142.8600</v>
      </c>
      <c r="H173" s="14">
        <v>0</v>
      </c>
      <c r="I173" s="14">
        <v>1142.8600</v>
      </c>
      <c r="J173" s="13" t="s">
        <v>31</v>
      </c>
    </row>
    <row r="174" ht="21.3" customHeight="true" customFormat="true" s="8">
      <c r="A174" s="12">
        <v>44631</v>
      </c>
      <c r="B174" s="13" t="s">
        <v>36</v>
      </c>
      <c r="C174" s="18" t="s">
        <v>226</v>
      </c>
      <c r="D174" s="13" t="s">
        <v>228</v>
      </c>
      <c r="E174" s="13" t="s">
        <v>16</v>
      </c>
      <c r="F174" s="14">
        <v>0</v>
      </c>
      <c r="G174" s="14">
        <v>320.0000</v>
      </c>
      <c r="H174" s="14">
        <v>0</v>
      </c>
      <c r="I174" s="14">
        <v>320.0000</v>
      </c>
      <c r="J174" s="13" t="s">
        <v>40</v>
      </c>
    </row>
    <row r="175" ht="10.95" customHeight="true" customFormat="true" s="8">
      <c r="A175" s="12">
        <v>44631</v>
      </c>
      <c r="B175" s="13" t="s">
        <v>36</v>
      </c>
      <c r="C175" s="13" t="s">
        <v>195</v>
      </c>
      <c r="D175" s="13" t="s">
        <v>228</v>
      </c>
      <c r="E175" s="13" t="s">
        <v>16</v>
      </c>
      <c r="F175" s="14">
        <v>0</v>
      </c>
      <c r="G175" s="14">
        <v>122.9100</v>
      </c>
      <c r="H175" s="14">
        <v>0</v>
      </c>
      <c r="I175" s="14">
        <v>122.9100</v>
      </c>
      <c r="J175" s="13" t="s">
        <v>40</v>
      </c>
    </row>
    <row r="176" ht="10.95" customHeight="true" customFormat="true" s="8">
      <c r="A176" s="12">
        <v>44664</v>
      </c>
      <c r="B176" s="13" t="s">
        <v>36</v>
      </c>
      <c r="C176" s="13" t="s">
        <v>233</v>
      </c>
      <c r="D176" s="13" t="s">
        <v>234</v>
      </c>
      <c r="E176" s="13" t="s">
        <v>16</v>
      </c>
      <c r="F176" s="14">
        <v>0</v>
      </c>
      <c r="G176" s="14">
        <v>80.0000</v>
      </c>
      <c r="H176" s="14">
        <v>0</v>
      </c>
      <c r="I176" s="14">
        <v>80.0000</v>
      </c>
      <c r="J176" s="13" t="s">
        <v>40</v>
      </c>
    </row>
    <row r="177" ht="10.95" customHeight="true" customFormat="true" s="8">
      <c r="A177" s="12">
        <v>44687</v>
      </c>
      <c r="B177" s="13" t="s">
        <v>36</v>
      </c>
      <c r="C177" s="13" t="s">
        <v>235</v>
      </c>
      <c r="D177" s="13" t="s">
        <v>236</v>
      </c>
      <c r="E177" s="13" t="s">
        <v>16</v>
      </c>
      <c r="F177" s="14">
        <v>0</v>
      </c>
      <c r="G177" s="14">
        <v>1075.2000</v>
      </c>
      <c r="H177" s="14">
        <v>0</v>
      </c>
      <c r="I177" s="14">
        <v>1075.2000</v>
      </c>
      <c r="J177" s="13" t="s">
        <v>40</v>
      </c>
    </row>
    <row r="178" ht="31.65" customHeight="true" customFormat="true" s="8">
      <c r="A178" s="12">
        <v>44749</v>
      </c>
      <c r="B178" s="13" t="s">
        <v>36</v>
      </c>
      <c r="C178" s="18" t="s">
        <v>237</v>
      </c>
      <c r="D178" s="13" t="s">
        <v>238</v>
      </c>
      <c r="E178" s="13" t="s">
        <v>16</v>
      </c>
      <c r="F178" s="14">
        <v>0</v>
      </c>
      <c r="G178" s="14">
        <v>6500.0000</v>
      </c>
      <c r="H178" s="14">
        <v>0</v>
      </c>
      <c r="I178" s="14">
        <v>6500.0000</v>
      </c>
      <c r="J178" s="13" t="s">
        <v>40</v>
      </c>
    </row>
    <row r="179" ht="31.65" customHeight="true" customFormat="true" s="8">
      <c r="A179" s="12">
        <v>44749</v>
      </c>
      <c r="B179" s="13" t="s">
        <v>36</v>
      </c>
      <c r="C179" s="18" t="s">
        <v>239</v>
      </c>
      <c r="D179" s="13" t="s">
        <v>238</v>
      </c>
      <c r="E179" s="13" t="s">
        <v>16</v>
      </c>
      <c r="F179" s="14">
        <v>0</v>
      </c>
      <c r="G179" s="14">
        <v>1939.2000</v>
      </c>
      <c r="H179" s="14">
        <v>0</v>
      </c>
      <c r="I179" s="14">
        <v>1939.2000</v>
      </c>
      <c r="J179" s="13" t="s">
        <v>31</v>
      </c>
    </row>
    <row r="180" ht="10.95" customHeight="true" customFormat="true" s="8">
      <c r="A180" s="12">
        <v>44749</v>
      </c>
      <c r="B180" s="13" t="s">
        <v>36</v>
      </c>
      <c r="C180" s="13" t="s">
        <v>240</v>
      </c>
      <c r="D180" s="13" t="s">
        <v>238</v>
      </c>
      <c r="E180" s="13" t="s">
        <v>16</v>
      </c>
      <c r="F180" s="14">
        <v>0</v>
      </c>
      <c r="G180" s="14">
        <v>1824.0000</v>
      </c>
      <c r="H180" s="14">
        <v>0</v>
      </c>
      <c r="I180" s="14">
        <v>1824.0000</v>
      </c>
      <c r="J180" s="13" t="s">
        <v>40</v>
      </c>
    </row>
    <row r="181" ht="42" customHeight="true" customFormat="true" s="8">
      <c r="A181" s="12">
        <v>44754</v>
      </c>
      <c r="B181" s="13" t="s">
        <v>36</v>
      </c>
      <c r="C181" s="18" t="s">
        <v>241</v>
      </c>
      <c r="D181" s="13" t="s">
        <v>242</v>
      </c>
      <c r="E181" s="13" t="s">
        <v>16</v>
      </c>
      <c r="F181" s="14">
        <v>0</v>
      </c>
      <c r="G181" s="14">
        <v>1459.2000</v>
      </c>
      <c r="H181" s="14">
        <v>0</v>
      </c>
      <c r="I181" s="14">
        <v>1459.2000</v>
      </c>
      <c r="J181" s="13" t="s">
        <v>31</v>
      </c>
    </row>
    <row r="182" ht="10.95" customHeight="true" customFormat="true" s="8">
      <c r="A182" s="12">
        <v>44760</v>
      </c>
      <c r="B182" s="13" t="s">
        <v>36</v>
      </c>
      <c r="C182" s="13" t="s">
        <v>243</v>
      </c>
      <c r="D182" s="13" t="s">
        <v>244</v>
      </c>
      <c r="E182" s="13" t="s">
        <v>16</v>
      </c>
      <c r="F182" s="14">
        <v>0</v>
      </c>
      <c r="G182" s="14">
        <v>675.0400</v>
      </c>
      <c r="H182" s="14">
        <v>0</v>
      </c>
      <c r="I182" s="14">
        <v>675.0400</v>
      </c>
      <c r="J182" s="13" t="s">
        <v>40</v>
      </c>
    </row>
    <row r="183" ht="42" customHeight="true" customFormat="true" s="8">
      <c r="A183" s="12">
        <v>44873</v>
      </c>
      <c r="B183" s="13" t="s">
        <v>36</v>
      </c>
      <c r="C183" s="18" t="s">
        <v>245</v>
      </c>
      <c r="D183" s="13" t="s">
        <v>246</v>
      </c>
      <c r="E183" s="13" t="s">
        <v>16</v>
      </c>
      <c r="F183" s="14">
        <v>0</v>
      </c>
      <c r="G183" s="14">
        <v>270.0000</v>
      </c>
      <c r="H183" s="14">
        <v>0</v>
      </c>
      <c r="I183" s="14">
        <v>270.0000</v>
      </c>
      <c r="J183" s="13" t="s">
        <v>40</v>
      </c>
    </row>
    <row r="184" ht="52.35" customHeight="true" customFormat="true" s="8">
      <c r="A184" s="12">
        <v>44873</v>
      </c>
      <c r="B184" s="13" t="s">
        <v>36</v>
      </c>
      <c r="C184" s="18" t="s">
        <v>247</v>
      </c>
      <c r="D184" s="13" t="s">
        <v>246</v>
      </c>
      <c r="E184" s="13" t="s">
        <v>16</v>
      </c>
      <c r="F184" s="14">
        <v>0</v>
      </c>
      <c r="G184" s="14">
        <v>65.0000</v>
      </c>
      <c r="H184" s="14">
        <v>0</v>
      </c>
      <c r="I184" s="14">
        <v>65.0000</v>
      </c>
      <c r="J184" s="13" t="s">
        <v>40</v>
      </c>
    </row>
    <row r="185" ht="31.65" customHeight="true" customFormat="true" s="8">
      <c r="A185" s="12">
        <v>44873</v>
      </c>
      <c r="B185" s="13" t="s">
        <v>36</v>
      </c>
      <c r="C185" s="18" t="s">
        <v>248</v>
      </c>
      <c r="D185" s="13" t="s">
        <v>246</v>
      </c>
      <c r="E185" s="13" t="s">
        <v>16</v>
      </c>
      <c r="F185" s="14">
        <v>0</v>
      </c>
      <c r="G185" s="14">
        <v>42.5000</v>
      </c>
      <c r="H185" s="14">
        <v>0</v>
      </c>
      <c r="I185" s="14">
        <v>42.5000</v>
      </c>
      <c r="J185" s="13" t="s">
        <v>40</v>
      </c>
    </row>
    <row r="186" ht="52.35" customHeight="true" customFormat="true" s="8">
      <c r="A186" s="12">
        <v>44873</v>
      </c>
      <c r="B186" s="13" t="s">
        <v>36</v>
      </c>
      <c r="C186" s="18" t="s">
        <v>249</v>
      </c>
      <c r="D186" s="13" t="s">
        <v>246</v>
      </c>
      <c r="E186" s="13" t="s">
        <v>16</v>
      </c>
      <c r="F186" s="14">
        <v>0</v>
      </c>
      <c r="G186" s="14">
        <v>640.0000</v>
      </c>
      <c r="H186" s="14">
        <v>0</v>
      </c>
      <c r="I186" s="14">
        <v>640.0000</v>
      </c>
      <c r="J186" s="13" t="s">
        <v>31</v>
      </c>
    </row>
    <row r="187" ht="21.3" customHeight="true" customFormat="true" s="8">
      <c r="A187" s="12">
        <v>44888</v>
      </c>
      <c r="B187" s="13" t="s">
        <v>36</v>
      </c>
      <c r="C187" s="18" t="s">
        <v>250</v>
      </c>
      <c r="D187" s="13" t="s">
        <v>251</v>
      </c>
      <c r="E187" s="13" t="s">
        <v>16</v>
      </c>
      <c r="F187" s="14">
        <v>0</v>
      </c>
      <c r="G187" s="14">
        <v>18240.0000</v>
      </c>
      <c r="H187" s="14">
        <v>0</v>
      </c>
      <c r="I187" s="14">
        <v>18240.0000</v>
      </c>
      <c r="J187" s="13" t="s">
        <v>31</v>
      </c>
    </row>
    <row r="188" ht="21.3" customHeight="true" customFormat="true" s="8">
      <c r="A188" s="12">
        <v>44888</v>
      </c>
      <c r="B188" s="13" t="s">
        <v>36</v>
      </c>
      <c r="C188" s="18" t="s">
        <v>252</v>
      </c>
      <c r="D188" s="13" t="s">
        <v>251</v>
      </c>
      <c r="E188" s="13" t="s">
        <v>16</v>
      </c>
      <c r="F188" s="14">
        <v>0</v>
      </c>
      <c r="G188" s="14">
        <v>360.0000</v>
      </c>
      <c r="H188" s="14">
        <v>0</v>
      </c>
      <c r="I188" s="14">
        <v>360.0000</v>
      </c>
      <c r="J188" s="13" t="s">
        <v>31</v>
      </c>
    </row>
    <row r="189" ht="21.3" customHeight="true" customFormat="true" s="8">
      <c r="A189" s="12">
        <v>44888</v>
      </c>
      <c r="B189" s="13" t="s">
        <v>36</v>
      </c>
      <c r="C189" s="18" t="s">
        <v>253</v>
      </c>
      <c r="D189" s="13" t="s">
        <v>251</v>
      </c>
      <c r="E189" s="13" t="s">
        <v>16</v>
      </c>
      <c r="F189" s="14">
        <v>0</v>
      </c>
      <c r="G189" s="14">
        <v>72.0000</v>
      </c>
      <c r="H189" s="14">
        <v>0</v>
      </c>
      <c r="I189" s="14">
        <v>72.0000</v>
      </c>
      <c r="J189" s="13" t="s">
        <v>40</v>
      </c>
    </row>
    <row r="190" ht="21.3" customHeight="true" customFormat="true" s="8">
      <c r="A190" s="12">
        <v>44888</v>
      </c>
      <c r="B190" s="13" t="s">
        <v>36</v>
      </c>
      <c r="C190" s="18" t="s">
        <v>254</v>
      </c>
      <c r="D190" s="13" t="s">
        <v>251</v>
      </c>
      <c r="E190" s="13" t="s">
        <v>16</v>
      </c>
      <c r="F190" s="14">
        <v>0</v>
      </c>
      <c r="G190" s="14">
        <v>1939.2000</v>
      </c>
      <c r="H190" s="14">
        <v>0</v>
      </c>
      <c r="I190" s="14">
        <v>1939.2000</v>
      </c>
      <c r="J190" s="13" t="s">
        <v>31</v>
      </c>
    </row>
    <row r="191" ht="10.95" customHeight="true" customFormat="true" s="8">
      <c r="A191" s="12">
        <v>44888</v>
      </c>
      <c r="B191" s="13" t="s">
        <v>36</v>
      </c>
      <c r="C191" s="13" t="s">
        <v>255</v>
      </c>
      <c r="D191" s="13" t="s">
        <v>251</v>
      </c>
      <c r="E191" s="13" t="s">
        <v>16</v>
      </c>
      <c r="F191" s="14">
        <v>0</v>
      </c>
      <c r="G191" s="14">
        <v>3888.0000</v>
      </c>
      <c r="H191" s="14">
        <v>0</v>
      </c>
      <c r="I191" s="14">
        <v>3888.0000</v>
      </c>
      <c r="J191" s="13" t="s">
        <v>40</v>
      </c>
    </row>
    <row r="192" ht="21.3" customHeight="true" customFormat="true" s="8">
      <c r="A192" s="12">
        <v>44888</v>
      </c>
      <c r="B192" s="13" t="s">
        <v>36</v>
      </c>
      <c r="C192" s="18" t="s">
        <v>256</v>
      </c>
      <c r="D192" s="13" t="s">
        <v>251</v>
      </c>
      <c r="E192" s="13" t="s">
        <v>16</v>
      </c>
      <c r="F192" s="14">
        <v>0</v>
      </c>
      <c r="G192" s="14">
        <v>2083.2000</v>
      </c>
      <c r="H192" s="14">
        <v>0</v>
      </c>
      <c r="I192" s="14">
        <v>2083.2000</v>
      </c>
      <c r="J192" s="13" t="s">
        <v>40</v>
      </c>
    </row>
    <row r="193" ht="21.3" customHeight="true" customFormat="true" s="8">
      <c r="A193" s="12">
        <v>44888</v>
      </c>
      <c r="B193" s="13" t="s">
        <v>36</v>
      </c>
      <c r="C193" s="18" t="s">
        <v>257</v>
      </c>
      <c r="D193" s="13" t="s">
        <v>251</v>
      </c>
      <c r="E193" s="13" t="s">
        <v>16</v>
      </c>
      <c r="F193" s="14">
        <v>0</v>
      </c>
      <c r="G193" s="14">
        <v>3016.0000</v>
      </c>
      <c r="H193" s="14">
        <v>0</v>
      </c>
      <c r="I193" s="14">
        <v>3016.0000</v>
      </c>
      <c r="J193" s="13" t="s">
        <v>40</v>
      </c>
    </row>
    <row r="194" ht="21.3" customHeight="true" customFormat="true" s="8">
      <c r="A194" s="12">
        <v>44888</v>
      </c>
      <c r="B194" s="13" t="s">
        <v>36</v>
      </c>
      <c r="C194" s="18" t="s">
        <v>258</v>
      </c>
      <c r="D194" s="13" t="s">
        <v>251</v>
      </c>
      <c r="E194" s="13" t="s">
        <v>16</v>
      </c>
      <c r="F194" s="14">
        <v>0</v>
      </c>
      <c r="G194" s="14">
        <v>150.0000</v>
      </c>
      <c r="H194" s="14">
        <v>0</v>
      </c>
      <c r="I194" s="14">
        <v>150.0000</v>
      </c>
      <c r="J194" s="13" t="s">
        <v>40</v>
      </c>
    </row>
    <row r="195" ht="21.3" customHeight="true" customFormat="true" s="8">
      <c r="A195" s="12">
        <v>44888</v>
      </c>
      <c r="B195" s="13" t="s">
        <v>36</v>
      </c>
      <c r="C195" s="18" t="s">
        <v>259</v>
      </c>
      <c r="D195" s="13" t="s">
        <v>251</v>
      </c>
      <c r="E195" s="13" t="s">
        <v>16</v>
      </c>
      <c r="F195" s="14">
        <v>0</v>
      </c>
      <c r="G195" s="14">
        <v>1350.0800</v>
      </c>
      <c r="H195" s="14">
        <v>0</v>
      </c>
      <c r="I195" s="14">
        <v>1350.0800</v>
      </c>
      <c r="J195" s="13" t="s">
        <v>40</v>
      </c>
    </row>
    <row r="196" ht="21.3" customHeight="true" customFormat="true" s="8">
      <c r="A196" s="12">
        <v>44888</v>
      </c>
      <c r="B196" s="13" t="s">
        <v>36</v>
      </c>
      <c r="C196" s="18" t="s">
        <v>260</v>
      </c>
      <c r="D196" s="13" t="s">
        <v>251</v>
      </c>
      <c r="E196" s="13" t="s">
        <v>16</v>
      </c>
      <c r="F196" s="14">
        <v>0</v>
      </c>
      <c r="G196" s="14">
        <v>675.0400</v>
      </c>
      <c r="H196" s="14">
        <v>0</v>
      </c>
      <c r="I196" s="14">
        <v>675.0400</v>
      </c>
      <c r="J196" s="13" t="s">
        <v>40</v>
      </c>
    </row>
    <row r="197" ht="42" customHeight="true" customFormat="true" s="8">
      <c r="A197" s="12">
        <v>44888</v>
      </c>
      <c r="B197" s="13" t="s">
        <v>36</v>
      </c>
      <c r="C197" s="18" t="s">
        <v>261</v>
      </c>
      <c r="D197" s="13" t="s">
        <v>251</v>
      </c>
      <c r="E197" s="13" t="s">
        <v>16</v>
      </c>
      <c r="F197" s="14">
        <v>0</v>
      </c>
      <c r="G197" s="14">
        <v>150.0000</v>
      </c>
      <c r="H197" s="14">
        <v>0</v>
      </c>
      <c r="I197" s="14">
        <v>150.0000</v>
      </c>
      <c r="J197" s="13" t="s">
        <v>40</v>
      </c>
    </row>
    <row r="198" ht="10.95" customHeight="true" customFormat="true" s="8">
      <c r="A198" s="12">
        <v>44900</v>
      </c>
      <c r="B198" s="13" t="s">
        <v>36</v>
      </c>
      <c r="C198" s="13" t="s">
        <v>262</v>
      </c>
      <c r="D198" s="13" t="s">
        <v>263</v>
      </c>
      <c r="E198" s="13" t="s">
        <v>16</v>
      </c>
      <c r="F198" s="14">
        <v>0</v>
      </c>
      <c r="G198" s="14">
        <v>3000.0000</v>
      </c>
      <c r="H198" s="14">
        <v>0</v>
      </c>
      <c r="I198" s="14">
        <v>3000.0000</v>
      </c>
      <c r="J198" s="13" t="s">
        <v>56</v>
      </c>
    </row>
    <row r="199" ht="31.65" customHeight="true" customFormat="true" s="8">
      <c r="A199" s="12">
        <v>44925</v>
      </c>
      <c r="B199" s="13" t="s">
        <v>36</v>
      </c>
      <c r="C199" s="18" t="s">
        <v>264</v>
      </c>
      <c r="D199" s="13" t="s">
        <v>265</v>
      </c>
      <c r="E199" s="13" t="s">
        <v>16</v>
      </c>
      <c r="F199" s="14">
        <v>0</v>
      </c>
      <c r="G199" s="14">
        <v>18191.2500</v>
      </c>
      <c r="H199" s="14">
        <v>0</v>
      </c>
      <c r="I199" s="14">
        <v>18191.2500</v>
      </c>
      <c r="J199" s="13" t="s">
        <v>40</v>
      </c>
    </row>
    <row r="200" ht="10.95" customHeight="true" customFormat="true" s="8">
      <c r="A200" s="12">
        <v>44925</v>
      </c>
      <c r="B200" s="13" t="s">
        <v>36</v>
      </c>
      <c r="C200" s="13" t="s">
        <v>266</v>
      </c>
      <c r="D200" s="13" t="s">
        <v>265</v>
      </c>
      <c r="E200" s="13" t="s">
        <v>16</v>
      </c>
      <c r="F200" s="14">
        <v>6912.0000</v>
      </c>
      <c r="G200" s="14">
        <v>0</v>
      </c>
      <c r="H200" s="14">
        <v>6912.0000</v>
      </c>
      <c r="I200" s="14">
        <v>0</v>
      </c>
      <c r="J200" s="13" t="s">
        <v>40</v>
      </c>
    </row>
    <row r="201" ht="10.95" customHeight="true" customFormat="true" s="8">
      <c r="A201" s="12">
        <v>44925</v>
      </c>
      <c r="B201" s="13" t="s">
        <v>36</v>
      </c>
      <c r="C201" s="13" t="s">
        <v>267</v>
      </c>
      <c r="D201" s="13" t="s">
        <v>265</v>
      </c>
      <c r="E201" s="13" t="s">
        <v>16</v>
      </c>
      <c r="F201" s="14">
        <v>0</v>
      </c>
      <c r="G201" s="14">
        <v>3811.9300</v>
      </c>
      <c r="H201" s="14">
        <v>0</v>
      </c>
      <c r="I201" s="14">
        <v>3811.9300</v>
      </c>
      <c r="J201" s="13" t="s">
        <v>40</v>
      </c>
    </row>
    <row r="202" ht="10.95" customHeight="true" customFormat="true" s="8">
      <c r="A202" s="12">
        <v>44925</v>
      </c>
      <c r="B202" s="13" t="s">
        <v>36</v>
      </c>
      <c r="C202" s="13" t="s">
        <v>268</v>
      </c>
      <c r="D202" s="13" t="s">
        <v>265</v>
      </c>
      <c r="E202" s="13" t="s">
        <v>16</v>
      </c>
      <c r="F202" s="14">
        <v>2044.0000</v>
      </c>
      <c r="G202" s="14">
        <v>0</v>
      </c>
      <c r="H202" s="14">
        <v>2044.0000</v>
      </c>
      <c r="I202" s="14">
        <v>0</v>
      </c>
      <c r="J202" s="13" t="s">
        <v>40</v>
      </c>
    </row>
    <row r="203" ht="21.3" customHeight="true" customFormat="true" s="8">
      <c r="A203" s="12">
        <v>44939</v>
      </c>
      <c r="B203" s="13" t="s">
        <v>36</v>
      </c>
      <c r="C203" s="18" t="s">
        <v>269</v>
      </c>
      <c r="D203" s="13" t="s">
        <v>270</v>
      </c>
      <c r="E203" s="13" t="s">
        <v>16</v>
      </c>
      <c r="F203" s="14">
        <v>0</v>
      </c>
      <c r="G203" s="14">
        <v>1616.0000</v>
      </c>
      <c r="H203" s="14">
        <v>0</v>
      </c>
      <c r="I203" s="14">
        <v>1616.0000</v>
      </c>
      <c r="J203" s="13" t="s">
        <v>31</v>
      </c>
    </row>
    <row r="204" ht="31.65" customHeight="true" customFormat="true" s="8">
      <c r="A204" s="12">
        <v>44939</v>
      </c>
      <c r="B204" s="13" t="s">
        <v>36</v>
      </c>
      <c r="C204" s="18" t="s">
        <v>271</v>
      </c>
      <c r="D204" s="13" t="s">
        <v>270</v>
      </c>
      <c r="E204" s="13" t="s">
        <v>16</v>
      </c>
      <c r="F204" s="14">
        <v>0</v>
      </c>
      <c r="G204" s="14">
        <v>60.0000</v>
      </c>
      <c r="H204" s="14">
        <v>0</v>
      </c>
      <c r="I204" s="14">
        <v>60.0000</v>
      </c>
      <c r="J204" s="13" t="s">
        <v>40</v>
      </c>
    </row>
    <row r="205" ht="31.65" customHeight="true" customFormat="true" s="8">
      <c r="A205" s="12">
        <v>44939</v>
      </c>
      <c r="B205" s="13" t="s">
        <v>36</v>
      </c>
      <c r="C205" s="18" t="s">
        <v>272</v>
      </c>
      <c r="D205" s="13" t="s">
        <v>270</v>
      </c>
      <c r="E205" s="13" t="s">
        <v>16</v>
      </c>
      <c r="F205" s="14">
        <v>0</v>
      </c>
      <c r="G205" s="14">
        <v>1520.0000</v>
      </c>
      <c r="H205" s="14">
        <v>0</v>
      </c>
      <c r="I205" s="14">
        <v>1520.0000</v>
      </c>
      <c r="J205" s="13" t="s">
        <v>31</v>
      </c>
    </row>
    <row r="206" ht="31.65" customHeight="true" customFormat="true" s="8">
      <c r="A206" s="12">
        <v>44939</v>
      </c>
      <c r="B206" s="13" t="s">
        <v>36</v>
      </c>
      <c r="C206" s="18" t="s">
        <v>273</v>
      </c>
      <c r="D206" s="13" t="s">
        <v>270</v>
      </c>
      <c r="E206" s="13" t="s">
        <v>16</v>
      </c>
      <c r="F206" s="14">
        <v>0</v>
      </c>
      <c r="G206" s="14">
        <v>328.0000</v>
      </c>
      <c r="H206" s="14">
        <v>0</v>
      </c>
      <c r="I206" s="14">
        <v>328.0000</v>
      </c>
      <c r="J206" s="13" t="s">
        <v>40</v>
      </c>
    </row>
    <row r="207" ht="21.3" customHeight="true" customFormat="true" s="8">
      <c r="A207" s="12">
        <v>44939</v>
      </c>
      <c r="B207" s="13" t="s">
        <v>36</v>
      </c>
      <c r="C207" s="18" t="s">
        <v>274</v>
      </c>
      <c r="D207" s="13" t="s">
        <v>270</v>
      </c>
      <c r="E207" s="13" t="s">
        <v>16</v>
      </c>
      <c r="F207" s="14">
        <v>0</v>
      </c>
      <c r="G207" s="14">
        <v>75.0000</v>
      </c>
      <c r="H207" s="14">
        <v>0</v>
      </c>
      <c r="I207" s="14">
        <v>75.0000</v>
      </c>
      <c r="J207" s="13" t="s">
        <v>40</v>
      </c>
    </row>
    <row r="208" ht="21.3" customHeight="true" customFormat="true" s="8">
      <c r="A208" s="12">
        <v>44939</v>
      </c>
      <c r="B208" s="13" t="s">
        <v>36</v>
      </c>
      <c r="C208" s="18" t="s">
        <v>275</v>
      </c>
      <c r="D208" s="13" t="s">
        <v>276</v>
      </c>
      <c r="E208" s="13" t="s">
        <v>16</v>
      </c>
      <c r="F208" s="14">
        <v>0</v>
      </c>
      <c r="G208" s="14">
        <v>648.0000</v>
      </c>
      <c r="H208" s="14">
        <v>0</v>
      </c>
      <c r="I208" s="14">
        <v>648.0000</v>
      </c>
      <c r="J208" s="13" t="s">
        <v>17</v>
      </c>
    </row>
    <row r="209" ht="42" customHeight="true" customFormat="true" s="8">
      <c r="A209" s="12">
        <v>45000</v>
      </c>
      <c r="B209" s="13" t="s">
        <v>36</v>
      </c>
      <c r="C209" s="18" t="s">
        <v>277</v>
      </c>
      <c r="D209" s="13" t="s">
        <v>278</v>
      </c>
      <c r="E209" s="13" t="s">
        <v>16</v>
      </c>
      <c r="F209" s="14">
        <v>0</v>
      </c>
      <c r="G209" s="14">
        <v>1824.0000</v>
      </c>
      <c r="H209" s="14">
        <v>0</v>
      </c>
      <c r="I209" s="14">
        <v>1824.0000</v>
      </c>
      <c r="J209" s="13" t="s">
        <v>31</v>
      </c>
    </row>
    <row r="210" ht="52.35" customHeight="true" customFormat="true" s="8">
      <c r="A210" s="12">
        <v>45070</v>
      </c>
      <c r="B210" s="13" t="s">
        <v>36</v>
      </c>
      <c r="C210" s="18" t="s">
        <v>249</v>
      </c>
      <c r="D210" s="13" t="s">
        <v>279</v>
      </c>
      <c r="E210" s="13" t="s">
        <v>16</v>
      </c>
      <c r="F210" s="14">
        <v>0</v>
      </c>
      <c r="G210" s="14">
        <v>384.0000</v>
      </c>
      <c r="H210" s="14">
        <v>0</v>
      </c>
      <c r="I210" s="14">
        <v>384.0000</v>
      </c>
      <c r="J210" s="13" t="s">
        <v>31</v>
      </c>
    </row>
    <row r="211" ht="31.65" customHeight="true" customFormat="true" s="8">
      <c r="A211" s="12">
        <v>45070</v>
      </c>
      <c r="B211" s="13" t="s">
        <v>36</v>
      </c>
      <c r="C211" s="18" t="s">
        <v>147</v>
      </c>
      <c r="D211" s="13" t="s">
        <v>279</v>
      </c>
      <c r="E211" s="13" t="s">
        <v>16</v>
      </c>
      <c r="F211" s="14">
        <v>0</v>
      </c>
      <c r="G211" s="14">
        <v>729.0000</v>
      </c>
      <c r="H211" s="14">
        <v>0</v>
      </c>
      <c r="I211" s="14">
        <v>729.0000</v>
      </c>
      <c r="J211" s="13" t="s">
        <v>40</v>
      </c>
    </row>
    <row r="212" ht="10.95" customHeight="true" customFormat="true" s="8">
      <c r="A212" s="12">
        <v>45070</v>
      </c>
      <c r="B212" s="13" t="s">
        <v>36</v>
      </c>
      <c r="C212" s="13" t="s">
        <v>280</v>
      </c>
      <c r="D212" s="13" t="s">
        <v>279</v>
      </c>
      <c r="E212" s="13" t="s">
        <v>16</v>
      </c>
      <c r="F212" s="14">
        <v>0</v>
      </c>
      <c r="G212" s="14">
        <v>111.3000</v>
      </c>
      <c r="H212" s="14">
        <v>0</v>
      </c>
      <c r="I212" s="14">
        <v>111.3000</v>
      </c>
      <c r="J212" s="13" t="s">
        <v>17</v>
      </c>
    </row>
    <row r="213" ht="31.65" customHeight="true" customFormat="true" s="8">
      <c r="A213" s="12">
        <v>45083</v>
      </c>
      <c r="B213" s="13" t="s">
        <v>36</v>
      </c>
      <c r="C213" s="18" t="s">
        <v>281</v>
      </c>
      <c r="D213" s="13" t="s">
        <v>282</v>
      </c>
      <c r="E213" s="13" t="s">
        <v>16</v>
      </c>
      <c r="F213" s="14">
        <v>0</v>
      </c>
      <c r="G213" s="14">
        <v>1824.0000</v>
      </c>
      <c r="H213" s="14">
        <v>0</v>
      </c>
      <c r="I213" s="14">
        <v>1824.0000</v>
      </c>
      <c r="J213" s="13" t="s">
        <v>31</v>
      </c>
    </row>
    <row r="214" ht="21.3" customHeight="true" customFormat="true" s="8">
      <c r="A214" s="12">
        <v>45083</v>
      </c>
      <c r="B214" s="13" t="s">
        <v>36</v>
      </c>
      <c r="C214" s="18" t="s">
        <v>269</v>
      </c>
      <c r="D214" s="13" t="s">
        <v>282</v>
      </c>
      <c r="E214" s="13" t="s">
        <v>16</v>
      </c>
      <c r="F214" s="14">
        <v>0</v>
      </c>
      <c r="G214" s="14">
        <v>1939.2000</v>
      </c>
      <c r="H214" s="14">
        <v>0</v>
      </c>
      <c r="I214" s="14">
        <v>1939.2000</v>
      </c>
      <c r="J214" s="13" t="s">
        <v>31</v>
      </c>
    </row>
    <row r="215" ht="31.65" customHeight="true" customFormat="true" s="8">
      <c r="A215" s="12">
        <v>45083</v>
      </c>
      <c r="B215" s="13" t="s">
        <v>36</v>
      </c>
      <c r="C215" s="18" t="s">
        <v>283</v>
      </c>
      <c r="D215" s="13" t="s">
        <v>282</v>
      </c>
      <c r="E215" s="13" t="s">
        <v>16</v>
      </c>
      <c r="F215" s="14">
        <v>0</v>
      </c>
      <c r="G215" s="14">
        <v>2106.0000</v>
      </c>
      <c r="H215" s="14">
        <v>0</v>
      </c>
      <c r="I215" s="14">
        <v>2106.0000</v>
      </c>
      <c r="J215" s="13" t="s">
        <v>40</v>
      </c>
    </row>
    <row r="216" ht="31.65" customHeight="true" customFormat="true" s="8">
      <c r="A216" s="12">
        <v>45083</v>
      </c>
      <c r="B216" s="13" t="s">
        <v>36</v>
      </c>
      <c r="C216" s="18" t="s">
        <v>284</v>
      </c>
      <c r="D216" s="13" t="s">
        <v>282</v>
      </c>
      <c r="E216" s="13" t="s">
        <v>16</v>
      </c>
      <c r="F216" s="14">
        <v>0</v>
      </c>
      <c r="G216" s="14">
        <v>90.0000</v>
      </c>
      <c r="H216" s="14">
        <v>0</v>
      </c>
      <c r="I216" s="14">
        <v>90.0000</v>
      </c>
      <c r="J216" s="13" t="s">
        <v>40</v>
      </c>
    </row>
    <row r="217" ht="42" customHeight="true" customFormat="true" s="8">
      <c r="A217" s="12">
        <v>45083</v>
      </c>
      <c r="B217" s="13" t="s">
        <v>36</v>
      </c>
      <c r="C217" s="18" t="s">
        <v>285</v>
      </c>
      <c r="D217" s="13" t="s">
        <v>282</v>
      </c>
      <c r="E217" s="13" t="s">
        <v>16</v>
      </c>
      <c r="F217" s="14">
        <v>0</v>
      </c>
      <c r="G217" s="14">
        <v>288.0000</v>
      </c>
      <c r="H217" s="14">
        <v>0</v>
      </c>
      <c r="I217" s="14">
        <v>288.0000</v>
      </c>
      <c r="J217" s="13" t="s">
        <v>17</v>
      </c>
    </row>
    <row r="218" ht="10.95" customHeight="true" customFormat="true" s="8">
      <c r="A218" s="12">
        <v>45083</v>
      </c>
      <c r="B218" s="13" t="s">
        <v>36</v>
      </c>
      <c r="C218" s="13" t="s">
        <v>286</v>
      </c>
      <c r="D218" s="13" t="s">
        <v>282</v>
      </c>
      <c r="E218" s="13" t="s">
        <v>16</v>
      </c>
      <c r="F218" s="14">
        <v>0</v>
      </c>
      <c r="G218" s="14">
        <v>624.7200</v>
      </c>
      <c r="H218" s="14">
        <v>0</v>
      </c>
      <c r="I218" s="14">
        <v>624.7200</v>
      </c>
      <c r="J218" s="13" t="s">
        <v>17</v>
      </c>
    </row>
    <row r="219" ht="10.95" customHeight="true" customFormat="true" s="8">
      <c r="A219" s="12">
        <v>45103</v>
      </c>
      <c r="B219" s="13" t="s">
        <v>36</v>
      </c>
      <c r="C219" s="13" t="s">
        <v>287</v>
      </c>
      <c r="D219" s="13" t="s">
        <v>244</v>
      </c>
      <c r="E219" s="13" t="s">
        <v>16</v>
      </c>
      <c r="F219" s="14">
        <v>0</v>
      </c>
      <c r="G219" s="14">
        <v>932.1500</v>
      </c>
      <c r="H219" s="14">
        <v>0</v>
      </c>
      <c r="I219" s="14">
        <v>932.1500</v>
      </c>
      <c r="J219" s="13" t="s">
        <v>17</v>
      </c>
    </row>
    <row r="220" ht="10.95" customHeight="true" customFormat="true" s="8">
      <c r="A220" s="12">
        <v>45103</v>
      </c>
      <c r="B220" s="13" t="s">
        <v>36</v>
      </c>
      <c r="C220" s="13" t="s">
        <v>288</v>
      </c>
      <c r="D220" s="13" t="s">
        <v>244</v>
      </c>
      <c r="E220" s="13" t="s">
        <v>16</v>
      </c>
      <c r="F220" s="14">
        <v>0</v>
      </c>
      <c r="G220" s="14">
        <v>509.3100</v>
      </c>
      <c r="H220" s="14">
        <v>0</v>
      </c>
      <c r="I220" s="14">
        <v>509.3100</v>
      </c>
      <c r="J220" s="13" t="s">
        <v>17</v>
      </c>
    </row>
    <row r="221" ht="10.95" customHeight="true" customFormat="true" s="8">
      <c r="A221" s="12">
        <v>45103</v>
      </c>
      <c r="B221" s="13" t="s">
        <v>36</v>
      </c>
      <c r="C221" s="13" t="s">
        <v>289</v>
      </c>
      <c r="D221" s="13" t="s">
        <v>244</v>
      </c>
      <c r="E221" s="13" t="s">
        <v>16</v>
      </c>
      <c r="F221" s="14">
        <v>0</v>
      </c>
      <c r="G221" s="14">
        <v>365.0000</v>
      </c>
      <c r="H221" s="14">
        <v>0</v>
      </c>
      <c r="I221" s="14">
        <v>365.0000</v>
      </c>
      <c r="J221" s="13" t="s">
        <v>17</v>
      </c>
    </row>
    <row r="222" ht="10.95" customHeight="true" customFormat="true" s="8">
      <c r="A222" s="12">
        <v>45103</v>
      </c>
      <c r="B222" s="13" t="s">
        <v>36</v>
      </c>
      <c r="C222" s="13" t="s">
        <v>290</v>
      </c>
      <c r="D222" s="13" t="s">
        <v>244</v>
      </c>
      <c r="E222" s="13" t="s">
        <v>16</v>
      </c>
      <c r="F222" s="14">
        <v>0</v>
      </c>
      <c r="G222" s="14">
        <v>3375.0000</v>
      </c>
      <c r="H222" s="14">
        <v>0</v>
      </c>
      <c r="I222" s="14">
        <v>3375.0000</v>
      </c>
      <c r="J222" s="13" t="s">
        <v>40</v>
      </c>
    </row>
    <row r="223" ht="31.65" customHeight="true" customFormat="true" s="8">
      <c r="A223" s="12">
        <v>45167</v>
      </c>
      <c r="B223" s="13" t="s">
        <v>36</v>
      </c>
      <c r="C223" s="18" t="s">
        <v>239</v>
      </c>
      <c r="D223" s="13" t="s">
        <v>291</v>
      </c>
      <c r="E223" s="13" t="s">
        <v>16</v>
      </c>
      <c r="F223" s="14">
        <v>0</v>
      </c>
      <c r="G223" s="14">
        <v>1939.2000</v>
      </c>
      <c r="H223" s="14">
        <v>0</v>
      </c>
      <c r="I223" s="14">
        <v>1939.2000</v>
      </c>
      <c r="J223" s="13" t="s">
        <v>31</v>
      </c>
    </row>
    <row r="224" ht="31.65" customHeight="true" customFormat="true" s="8">
      <c r="A224" s="12">
        <v>45167</v>
      </c>
      <c r="B224" s="13" t="s">
        <v>36</v>
      </c>
      <c r="C224" s="18" t="s">
        <v>292</v>
      </c>
      <c r="D224" s="13" t="s">
        <v>291</v>
      </c>
      <c r="E224" s="13" t="s">
        <v>16</v>
      </c>
      <c r="F224" s="14">
        <v>0</v>
      </c>
      <c r="G224" s="14">
        <v>1824.0000</v>
      </c>
      <c r="H224" s="14">
        <v>0</v>
      </c>
      <c r="I224" s="14">
        <v>1824.0000</v>
      </c>
      <c r="J224" s="13" t="s">
        <v>31</v>
      </c>
    </row>
    <row r="225" ht="10.95" customHeight="true" customFormat="true" s="8">
      <c r="A225" s="12">
        <v>45167</v>
      </c>
      <c r="B225" s="13" t="s">
        <v>36</v>
      </c>
      <c r="C225" s="13" t="s">
        <v>293</v>
      </c>
      <c r="D225" s="13" t="s">
        <v>291</v>
      </c>
      <c r="E225" s="13" t="s">
        <v>16</v>
      </c>
      <c r="F225" s="14">
        <v>0</v>
      </c>
      <c r="G225" s="14">
        <v>337.6000</v>
      </c>
      <c r="H225" s="14">
        <v>0</v>
      </c>
      <c r="I225" s="14">
        <v>337.6000</v>
      </c>
      <c r="J225" s="13" t="s">
        <v>17</v>
      </c>
    </row>
    <row r="226" ht="31.65" customHeight="true" customFormat="true" s="8">
      <c r="A226" s="12">
        <v>45188</v>
      </c>
      <c r="B226" s="13" t="s">
        <v>36</v>
      </c>
      <c r="C226" s="18" t="s">
        <v>239</v>
      </c>
      <c r="D226" s="13" t="s">
        <v>294</v>
      </c>
      <c r="E226" s="13" t="s">
        <v>16</v>
      </c>
      <c r="F226" s="14">
        <v>0</v>
      </c>
      <c r="G226" s="14">
        <v>1939.2000</v>
      </c>
      <c r="H226" s="14">
        <v>0</v>
      </c>
      <c r="I226" s="14">
        <v>1939.2000</v>
      </c>
      <c r="J226" s="13" t="s">
        <v>31</v>
      </c>
    </row>
    <row r="227" ht="42" customHeight="true" customFormat="true" s="8">
      <c r="A227" s="12">
        <v>45188</v>
      </c>
      <c r="B227" s="13" t="s">
        <v>36</v>
      </c>
      <c r="C227" s="18" t="s">
        <v>295</v>
      </c>
      <c r="D227" s="13" t="s">
        <v>294</v>
      </c>
      <c r="E227" s="13" t="s">
        <v>16</v>
      </c>
      <c r="F227" s="14">
        <v>0</v>
      </c>
      <c r="G227" s="14">
        <v>72.0000</v>
      </c>
      <c r="H227" s="14">
        <v>0</v>
      </c>
      <c r="I227" s="14">
        <v>72.0000</v>
      </c>
      <c r="J227" s="13" t="s">
        <v>40</v>
      </c>
    </row>
    <row r="228" ht="42" customHeight="true" customFormat="true" s="8">
      <c r="A228" s="12">
        <v>45188</v>
      </c>
      <c r="B228" s="13" t="s">
        <v>36</v>
      </c>
      <c r="C228" s="18" t="s">
        <v>277</v>
      </c>
      <c r="D228" s="13" t="s">
        <v>294</v>
      </c>
      <c r="E228" s="13" t="s">
        <v>16</v>
      </c>
      <c r="F228" s="14">
        <v>0</v>
      </c>
      <c r="G228" s="14">
        <v>14592.0000</v>
      </c>
      <c r="H228" s="14">
        <v>0</v>
      </c>
      <c r="I228" s="14">
        <v>14592.0000</v>
      </c>
      <c r="J228" s="13" t="s">
        <v>31</v>
      </c>
    </row>
    <row r="229" ht="42" customHeight="true" customFormat="true" s="8">
      <c r="A229" s="12">
        <v>45188</v>
      </c>
      <c r="B229" s="13" t="s">
        <v>36</v>
      </c>
      <c r="C229" s="18" t="s">
        <v>296</v>
      </c>
      <c r="D229" s="13" t="s">
        <v>294</v>
      </c>
      <c r="E229" s="13" t="s">
        <v>16</v>
      </c>
      <c r="F229" s="14">
        <v>0</v>
      </c>
      <c r="G229" s="14">
        <v>288.0000</v>
      </c>
      <c r="H229" s="14">
        <v>0</v>
      </c>
      <c r="I229" s="14">
        <v>288.0000</v>
      </c>
      <c r="J229" s="13" t="s">
        <v>31</v>
      </c>
    </row>
    <row r="230" ht="31.65" customHeight="true" customFormat="true" s="8">
      <c r="A230" s="12">
        <v>45188</v>
      </c>
      <c r="B230" s="13" t="s">
        <v>36</v>
      </c>
      <c r="C230" s="18" t="s">
        <v>147</v>
      </c>
      <c r="D230" s="13" t="s">
        <v>294</v>
      </c>
      <c r="E230" s="13" t="s">
        <v>16</v>
      </c>
      <c r="F230" s="14">
        <v>0</v>
      </c>
      <c r="G230" s="14">
        <v>3888.0000</v>
      </c>
      <c r="H230" s="14">
        <v>0</v>
      </c>
      <c r="I230" s="14">
        <v>3888.0000</v>
      </c>
      <c r="J230" s="13" t="s">
        <v>17</v>
      </c>
    </row>
    <row r="231" ht="21.3" customHeight="true" customFormat="true" s="8">
      <c r="A231" s="12">
        <v>45188</v>
      </c>
      <c r="B231" s="13" t="s">
        <v>36</v>
      </c>
      <c r="C231" s="18" t="s">
        <v>297</v>
      </c>
      <c r="D231" s="13" t="s">
        <v>294</v>
      </c>
      <c r="E231" s="13" t="s">
        <v>16</v>
      </c>
      <c r="F231" s="14">
        <v>0</v>
      </c>
      <c r="G231" s="14">
        <v>150.0000</v>
      </c>
      <c r="H231" s="14">
        <v>0</v>
      </c>
      <c r="I231" s="14">
        <v>150.0000</v>
      </c>
      <c r="J231" s="13" t="s">
        <v>40</v>
      </c>
    </row>
    <row r="232" ht="10.95" customHeight="true" customFormat="true" s="8">
      <c r="A232" s="12">
        <v>45188</v>
      </c>
      <c r="B232" s="13" t="s">
        <v>36</v>
      </c>
      <c r="C232" s="13" t="s">
        <v>298</v>
      </c>
      <c r="D232" s="13" t="s">
        <v>294</v>
      </c>
      <c r="E232" s="13" t="s">
        <v>16</v>
      </c>
      <c r="F232" s="14">
        <v>0</v>
      </c>
      <c r="G232" s="14">
        <v>2092.9200</v>
      </c>
      <c r="H232" s="14">
        <v>0</v>
      </c>
      <c r="I232" s="14">
        <v>2092.9200</v>
      </c>
      <c r="J232" s="13" t="s">
        <v>17</v>
      </c>
    </row>
    <row r="233" ht="21.3" customHeight="true" customFormat="true" s="8">
      <c r="A233" s="12">
        <v>45194</v>
      </c>
      <c r="B233" s="13" t="s">
        <v>36</v>
      </c>
      <c r="C233" s="18" t="s">
        <v>299</v>
      </c>
      <c r="D233" s="13" t="s">
        <v>300</v>
      </c>
      <c r="E233" s="13" t="s">
        <v>16</v>
      </c>
      <c r="F233" s="14">
        <v>0</v>
      </c>
      <c r="G233" s="14">
        <v>250.9900</v>
      </c>
      <c r="H233" s="14">
        <v>0</v>
      </c>
      <c r="I233" s="14">
        <v>250.9900</v>
      </c>
      <c r="J233" s="13" t="s">
        <v>40</v>
      </c>
    </row>
    <row r="234" ht="21.3" customHeight="true" customFormat="true" s="8">
      <c r="A234" s="12">
        <v>45194</v>
      </c>
      <c r="B234" s="13" t="s">
        <v>36</v>
      </c>
      <c r="C234" s="18" t="s">
        <v>301</v>
      </c>
      <c r="D234" s="13" t="s">
        <v>300</v>
      </c>
      <c r="E234" s="13" t="s">
        <v>16</v>
      </c>
      <c r="F234" s="14">
        <v>0</v>
      </c>
      <c r="G234" s="14">
        <v>323.7100</v>
      </c>
      <c r="H234" s="14">
        <v>0</v>
      </c>
      <c r="I234" s="14">
        <v>323.7100</v>
      </c>
      <c r="J234" s="13" t="s">
        <v>40</v>
      </c>
    </row>
    <row r="235" ht="21.3" customHeight="true" customFormat="true" s="8">
      <c r="A235" s="12">
        <v>45194</v>
      </c>
      <c r="B235" s="13" t="s">
        <v>36</v>
      </c>
      <c r="C235" s="18" t="s">
        <v>302</v>
      </c>
      <c r="D235" s="13" t="s">
        <v>300</v>
      </c>
      <c r="E235" s="13" t="s">
        <v>16</v>
      </c>
      <c r="F235" s="14">
        <v>0</v>
      </c>
      <c r="G235" s="14">
        <v>132.3100</v>
      </c>
      <c r="H235" s="14">
        <v>0</v>
      </c>
      <c r="I235" s="14">
        <v>132.3100</v>
      </c>
      <c r="J235" s="13" t="s">
        <v>40</v>
      </c>
    </row>
    <row r="236" ht="21.3" customHeight="true" customFormat="true" s="8">
      <c r="A236" s="12">
        <v>45194</v>
      </c>
      <c r="B236" s="13" t="s">
        <v>36</v>
      </c>
      <c r="C236" s="18" t="s">
        <v>303</v>
      </c>
      <c r="D236" s="13" t="s">
        <v>300</v>
      </c>
      <c r="E236" s="13" t="s">
        <v>16</v>
      </c>
      <c r="F236" s="14">
        <v>0</v>
      </c>
      <c r="G236" s="14">
        <v>44.9500</v>
      </c>
      <c r="H236" s="14">
        <v>0</v>
      </c>
      <c r="I236" s="14">
        <v>44.9500</v>
      </c>
      <c r="J236" s="13" t="s">
        <v>40</v>
      </c>
    </row>
    <row r="237" ht="21.3" customHeight="true" customFormat="true" s="8">
      <c r="A237" s="12">
        <v>45194</v>
      </c>
      <c r="B237" s="13" t="s">
        <v>36</v>
      </c>
      <c r="C237" s="18" t="s">
        <v>304</v>
      </c>
      <c r="D237" s="13" t="s">
        <v>300</v>
      </c>
      <c r="E237" s="13" t="s">
        <v>16</v>
      </c>
      <c r="F237" s="14">
        <v>0</v>
      </c>
      <c r="G237" s="14">
        <v>36.8700</v>
      </c>
      <c r="H237" s="14">
        <v>0</v>
      </c>
      <c r="I237" s="14">
        <v>36.8700</v>
      </c>
      <c r="J237" s="13" t="s">
        <v>40</v>
      </c>
    </row>
    <row r="238" ht="31.65" customHeight="true" customFormat="true" s="8">
      <c r="A238" s="12">
        <v>45208</v>
      </c>
      <c r="B238" s="13" t="s">
        <v>36</v>
      </c>
      <c r="C238" s="18" t="s">
        <v>305</v>
      </c>
      <c r="D238" s="13" t="s">
        <v>306</v>
      </c>
      <c r="E238" s="13" t="s">
        <v>16</v>
      </c>
      <c r="F238" s="14">
        <v>0</v>
      </c>
      <c r="G238" s="14">
        <v>279.0000</v>
      </c>
      <c r="H238" s="14">
        <v>0</v>
      </c>
      <c r="I238" s="14">
        <v>279.0000</v>
      </c>
      <c r="J238" s="13" t="s">
        <v>40</v>
      </c>
    </row>
    <row r="239" ht="10.95" customHeight="true" customFormat="true" s="8">
      <c r="A239" s="12">
        <v>45208</v>
      </c>
      <c r="B239" s="13" t="s">
        <v>36</v>
      </c>
      <c r="C239" s="13" t="s">
        <v>307</v>
      </c>
      <c r="D239" s="13" t="s">
        <v>306</v>
      </c>
      <c r="E239" s="13" t="s">
        <v>16</v>
      </c>
      <c r="F239" s="14">
        <v>0</v>
      </c>
      <c r="G239" s="14">
        <v>27.9000</v>
      </c>
      <c r="H239" s="14">
        <v>0</v>
      </c>
      <c r="I239" s="14">
        <v>27.9000</v>
      </c>
      <c r="J239" s="13" t="s">
        <v>17</v>
      </c>
    </row>
    <row r="240" ht="31.65" customHeight="true" customFormat="true" s="8">
      <c r="A240" s="12">
        <v>45210</v>
      </c>
      <c r="B240" s="13" t="s">
        <v>36</v>
      </c>
      <c r="C240" s="18" t="s">
        <v>308</v>
      </c>
      <c r="D240" s="13" t="s">
        <v>309</v>
      </c>
      <c r="E240" s="13" t="s">
        <v>16</v>
      </c>
      <c r="F240" s="14">
        <v>0</v>
      </c>
      <c r="G240" s="14">
        <v>1080.0000</v>
      </c>
      <c r="H240" s="14">
        <v>0</v>
      </c>
      <c r="I240" s="14">
        <v>1080.0000</v>
      </c>
      <c r="J240" s="13" t="s">
        <v>40</v>
      </c>
    </row>
    <row r="241" ht="10.95" customHeight="true" customFormat="true" s="8">
      <c r="A241" s="12">
        <v>45210</v>
      </c>
      <c r="B241" s="13" t="s">
        <v>36</v>
      </c>
      <c r="C241" s="13" t="s">
        <v>310</v>
      </c>
      <c r="D241" s="13" t="s">
        <v>309</v>
      </c>
      <c r="E241" s="13" t="s">
        <v>16</v>
      </c>
      <c r="F241" s="14">
        <v>0</v>
      </c>
      <c r="G241" s="14">
        <v>108.0000</v>
      </c>
      <c r="H241" s="14">
        <v>0</v>
      </c>
      <c r="I241" s="14">
        <v>108.0000</v>
      </c>
      <c r="J241" s="13" t="s">
        <v>17</v>
      </c>
    </row>
    <row r="242" ht="42" customHeight="true" customFormat="true" s="8">
      <c r="A242" s="12">
        <v>45232</v>
      </c>
      <c r="B242" s="13" t="s">
        <v>36</v>
      </c>
      <c r="C242" s="18" t="s">
        <v>311</v>
      </c>
      <c r="D242" s="13" t="s">
        <v>312</v>
      </c>
      <c r="E242" s="13" t="s">
        <v>16</v>
      </c>
      <c r="F242" s="14">
        <v>0</v>
      </c>
      <c r="G242" s="14">
        <v>1680.0000</v>
      </c>
      <c r="H242" s="14">
        <v>0</v>
      </c>
      <c r="I242" s="14">
        <v>1680.0000</v>
      </c>
      <c r="J242" s="13" t="s">
        <v>40</v>
      </c>
    </row>
    <row r="243" ht="42" customHeight="true" customFormat="true" s="8">
      <c r="A243" s="12">
        <v>45232</v>
      </c>
      <c r="B243" s="13" t="s">
        <v>36</v>
      </c>
      <c r="C243" s="18" t="s">
        <v>313</v>
      </c>
      <c r="D243" s="13" t="s">
        <v>312</v>
      </c>
      <c r="E243" s="13" t="s">
        <v>16</v>
      </c>
      <c r="F243" s="14">
        <v>0</v>
      </c>
      <c r="G243" s="14">
        <v>3078.0000</v>
      </c>
      <c r="H243" s="14">
        <v>0</v>
      </c>
      <c r="I243" s="14">
        <v>3078.0000</v>
      </c>
      <c r="J243" s="13" t="s">
        <v>40</v>
      </c>
    </row>
    <row r="244" ht="42" customHeight="true" customFormat="true" s="8">
      <c r="A244" s="12">
        <v>45232</v>
      </c>
      <c r="B244" s="13" t="s">
        <v>36</v>
      </c>
      <c r="C244" s="18" t="s">
        <v>314</v>
      </c>
      <c r="D244" s="13" t="s">
        <v>312</v>
      </c>
      <c r="E244" s="13" t="s">
        <v>16</v>
      </c>
      <c r="F244" s="14">
        <v>0</v>
      </c>
      <c r="G244" s="14">
        <v>1440.0000</v>
      </c>
      <c r="H244" s="14">
        <v>0</v>
      </c>
      <c r="I244" s="14">
        <v>1440.0000</v>
      </c>
      <c r="J244" s="13" t="s">
        <v>40</v>
      </c>
    </row>
    <row r="245" ht="31.65" customHeight="true" customFormat="true" s="8">
      <c r="A245" s="12">
        <v>45232</v>
      </c>
      <c r="B245" s="13" t="s">
        <v>36</v>
      </c>
      <c r="C245" s="18" t="s">
        <v>315</v>
      </c>
      <c r="D245" s="13" t="s">
        <v>312</v>
      </c>
      <c r="E245" s="13" t="s">
        <v>16</v>
      </c>
      <c r="F245" s="14">
        <v>0</v>
      </c>
      <c r="G245" s="14">
        <v>960.0000</v>
      </c>
      <c r="H245" s="14">
        <v>0</v>
      </c>
      <c r="I245" s="14">
        <v>960.0000</v>
      </c>
      <c r="J245" s="13" t="s">
        <v>40</v>
      </c>
    </row>
    <row r="246" ht="31.65" customHeight="true" customFormat="true" s="8">
      <c r="A246" s="12">
        <v>45232</v>
      </c>
      <c r="B246" s="13" t="s">
        <v>36</v>
      </c>
      <c r="C246" s="18" t="s">
        <v>316</v>
      </c>
      <c r="D246" s="13" t="s">
        <v>312</v>
      </c>
      <c r="E246" s="13" t="s">
        <v>16</v>
      </c>
      <c r="F246" s="14">
        <v>0</v>
      </c>
      <c r="G246" s="14">
        <v>1939.2000</v>
      </c>
      <c r="H246" s="14">
        <v>0</v>
      </c>
      <c r="I246" s="14">
        <v>1939.2000</v>
      </c>
      <c r="J246" s="13" t="s">
        <v>40</v>
      </c>
    </row>
    <row r="247" ht="31.65" customHeight="true" customFormat="true" s="8">
      <c r="A247" s="12">
        <v>45232</v>
      </c>
      <c r="B247" s="13" t="s">
        <v>36</v>
      </c>
      <c r="C247" s="18" t="s">
        <v>317</v>
      </c>
      <c r="D247" s="13" t="s">
        <v>312</v>
      </c>
      <c r="E247" s="13" t="s">
        <v>16</v>
      </c>
      <c r="F247" s="14">
        <v>0</v>
      </c>
      <c r="G247" s="14">
        <v>3648.0000</v>
      </c>
      <c r="H247" s="14">
        <v>0</v>
      </c>
      <c r="I247" s="14">
        <v>3648.0000</v>
      </c>
      <c r="J247" s="13" t="s">
        <v>40</v>
      </c>
    </row>
    <row r="248" ht="31.65" customHeight="true" customFormat="true" s="8">
      <c r="A248" s="12">
        <v>45232</v>
      </c>
      <c r="B248" s="13" t="s">
        <v>36</v>
      </c>
      <c r="C248" s="18" t="s">
        <v>318</v>
      </c>
      <c r="D248" s="13" t="s">
        <v>312</v>
      </c>
      <c r="E248" s="13" t="s">
        <v>16</v>
      </c>
      <c r="F248" s="14">
        <v>0</v>
      </c>
      <c r="G248" s="14">
        <v>180.0000</v>
      </c>
      <c r="H248" s="14">
        <v>0</v>
      </c>
      <c r="I248" s="14">
        <v>180.0000</v>
      </c>
      <c r="J248" s="13" t="s">
        <v>40</v>
      </c>
    </row>
    <row r="249" ht="31.65" customHeight="true" customFormat="true" s="8">
      <c r="A249" s="12">
        <v>45232</v>
      </c>
      <c r="B249" s="13" t="s">
        <v>36</v>
      </c>
      <c r="C249" s="18" t="s">
        <v>319</v>
      </c>
      <c r="D249" s="13" t="s">
        <v>312</v>
      </c>
      <c r="E249" s="13" t="s">
        <v>16</v>
      </c>
      <c r="F249" s="14">
        <v>0</v>
      </c>
      <c r="G249" s="14">
        <v>253.1400</v>
      </c>
      <c r="H249" s="14">
        <v>0</v>
      </c>
      <c r="I249" s="14">
        <v>253.1400</v>
      </c>
      <c r="J249" s="13" t="s">
        <v>40</v>
      </c>
    </row>
    <row r="250" ht="10.95" customHeight="true" customFormat="true" s="8">
      <c r="A250" s="12">
        <v>45232</v>
      </c>
      <c r="B250" s="13" t="s">
        <v>36</v>
      </c>
      <c r="C250" s="13" t="s">
        <v>320</v>
      </c>
      <c r="D250" s="13" t="s">
        <v>312</v>
      </c>
      <c r="E250" s="13" t="s">
        <v>16</v>
      </c>
      <c r="F250" s="14">
        <v>0</v>
      </c>
      <c r="G250" s="14">
        <v>1317.0000</v>
      </c>
      <c r="H250" s="14">
        <v>0</v>
      </c>
      <c r="I250" s="14">
        <v>1317.0000</v>
      </c>
      <c r="J250" s="13" t="s">
        <v>17</v>
      </c>
    </row>
    <row r="251" ht="31.65" customHeight="true" customFormat="true" s="8">
      <c r="A251" s="12">
        <v>45265</v>
      </c>
      <c r="B251" s="13" t="s">
        <v>36</v>
      </c>
      <c r="C251" s="18" t="s">
        <v>321</v>
      </c>
      <c r="D251" s="13" t="s">
        <v>322</v>
      </c>
      <c r="E251" s="13" t="s">
        <v>16</v>
      </c>
      <c r="F251" s="14">
        <v>0</v>
      </c>
      <c r="G251" s="14">
        <v>312.0000</v>
      </c>
      <c r="H251" s="14">
        <v>0</v>
      </c>
      <c r="I251" s="14">
        <v>312.0000</v>
      </c>
      <c r="J251" s="13" t="s">
        <v>40</v>
      </c>
    </row>
    <row r="252" ht="31.65" customHeight="true" customFormat="true" s="8">
      <c r="A252" s="12">
        <v>45265</v>
      </c>
      <c r="B252" s="13" t="s">
        <v>36</v>
      </c>
      <c r="C252" s="18" t="s">
        <v>323</v>
      </c>
      <c r="D252" s="13" t="s">
        <v>322</v>
      </c>
      <c r="E252" s="13" t="s">
        <v>16</v>
      </c>
      <c r="F252" s="14">
        <v>0</v>
      </c>
      <c r="G252" s="14">
        <v>768.0000</v>
      </c>
      <c r="H252" s="14">
        <v>0</v>
      </c>
      <c r="I252" s="14">
        <v>768.0000</v>
      </c>
      <c r="J252" s="13" t="s">
        <v>31</v>
      </c>
    </row>
    <row r="253" ht="10.95" customHeight="true" customFormat="true" s="8">
      <c r="A253" s="12">
        <v>45265</v>
      </c>
      <c r="B253" s="13" t="s">
        <v>36</v>
      </c>
      <c r="C253" s="13" t="s">
        <v>324</v>
      </c>
      <c r="D253" s="13" t="s">
        <v>322</v>
      </c>
      <c r="E253" s="13" t="s">
        <v>16</v>
      </c>
      <c r="F253" s="14">
        <v>0</v>
      </c>
      <c r="G253" s="14">
        <v>108.0000</v>
      </c>
      <c r="H253" s="14">
        <v>0</v>
      </c>
      <c r="I253" s="14">
        <v>108.0000</v>
      </c>
      <c r="J253" s="13" t="s">
        <v>17</v>
      </c>
    </row>
    <row r="254" ht="10.95" customHeight="true" customFormat="true" s="8">
      <c r="A254" s="12">
        <v>45279</v>
      </c>
      <c r="B254" s="13" t="s">
        <v>36</v>
      </c>
      <c r="C254" s="13" t="s">
        <v>325</v>
      </c>
      <c r="D254" s="13" t="s">
        <v>326</v>
      </c>
      <c r="E254" s="13" t="s">
        <v>16</v>
      </c>
      <c r="F254" s="14">
        <v>0</v>
      </c>
      <c r="G254" s="14">
        <v>300.0000</v>
      </c>
      <c r="H254" s="14">
        <v>0</v>
      </c>
      <c r="I254" s="14">
        <v>300.0000</v>
      </c>
      <c r="J254" s="13" t="s">
        <v>40</v>
      </c>
    </row>
    <row r="255" ht="10.95" customHeight="true" customFormat="true" s="8">
      <c r="A255" s="12">
        <v>45279</v>
      </c>
      <c r="B255" s="13" t="s">
        <v>36</v>
      </c>
      <c r="C255" s="13" t="s">
        <v>327</v>
      </c>
      <c r="D255" s="13" t="s">
        <v>326</v>
      </c>
      <c r="E255" s="13" t="s">
        <v>16</v>
      </c>
      <c r="F255" s="14">
        <v>0</v>
      </c>
      <c r="G255" s="14">
        <v>30.0000</v>
      </c>
      <c r="H255" s="14">
        <v>0</v>
      </c>
      <c r="I255" s="14">
        <v>30.0000</v>
      </c>
      <c r="J255" s="13" t="s">
        <v>17</v>
      </c>
    </row>
    <row r="256" ht="10.95" customHeight="true" customFormat="true" s="8">
      <c r="A256" s="15" t="s">
        <v>328</v>
      </c>
      <c r="B256" s="15"/>
      <c r="C256" s="15"/>
      <c r="D256" s="15"/>
      <c r="E256" s="15"/>
      <c r="F256" s="16">
        <f ca="1">SUM(F101:F255)</f>
        <v>0</v>
      </c>
      <c r="G256" s="16">
        <f ca="1">SUM(G101:G255)</f>
        <v>0</v>
      </c>
      <c r="H256" s="16">
        <f ca="1">SUM(H101:H255)</f>
        <v>0</v>
      </c>
      <c r="I256" s="16">
        <f ca="1">SUM(I101:I255)</f>
        <v>0</v>
      </c>
      <c r="J256" s="15"/>
    </row>
    <row r="257" ht="13.35" customHeight="true"/>
    <row r="258" ht="12.1" customHeight="true" customFormat="true" s="5">
      <c r="A258" s="17" t="s">
        <v>329</v>
      </c>
      <c r="B258" s="17"/>
      <c r="C258" s="17"/>
      <c r="D258" s="17"/>
      <c r="E258" s="17"/>
      <c r="F258" s="17"/>
      <c r="G258" s="17"/>
      <c r="H258" s="17"/>
      <c r="I258" s="17"/>
      <c r="J258" s="17"/>
    </row>
    <row r="259" ht="10.95" customHeight="true" customFormat="true" s="8">
      <c r="A259" s="9">
        <v>44284</v>
      </c>
      <c r="B259" s="10" t="s">
        <v>36</v>
      </c>
      <c r="C259" s="10" t="s">
        <v>330</v>
      </c>
      <c r="D259" s="10" t="s">
        <v>331</v>
      </c>
      <c r="E259" s="10" t="s">
        <v>16</v>
      </c>
      <c r="F259" s="11">
        <v>0</v>
      </c>
      <c r="G259" s="11">
        <v>20199.9600</v>
      </c>
      <c r="H259" s="11">
        <v>0</v>
      </c>
      <c r="I259" s="11">
        <v>20199.9600</v>
      </c>
      <c r="J259" s="10" t="s">
        <v>40</v>
      </c>
    </row>
    <row r="260" ht="10.95" customHeight="true" customFormat="true" s="8">
      <c r="A260" s="12">
        <v>44284</v>
      </c>
      <c r="B260" s="13" t="s">
        <v>36</v>
      </c>
      <c r="C260" s="13" t="s">
        <v>332</v>
      </c>
      <c r="D260" s="13" t="s">
        <v>331</v>
      </c>
      <c r="E260" s="13" t="s">
        <v>16</v>
      </c>
      <c r="F260" s="14">
        <v>0</v>
      </c>
      <c r="G260" s="14">
        <v>1547.6200</v>
      </c>
      <c r="H260" s="14">
        <v>0</v>
      </c>
      <c r="I260" s="14">
        <v>1547.6200</v>
      </c>
      <c r="J260" s="13" t="s">
        <v>31</v>
      </c>
    </row>
    <row r="261" ht="10.95" customHeight="true" customFormat="true" s="8">
      <c r="A261" s="12">
        <v>44284</v>
      </c>
      <c r="B261" s="13" t="s">
        <v>36</v>
      </c>
      <c r="C261" s="13" t="s">
        <v>333</v>
      </c>
      <c r="D261" s="13" t="s">
        <v>331</v>
      </c>
      <c r="E261" s="13" t="s">
        <v>16</v>
      </c>
      <c r="F261" s="14">
        <v>0</v>
      </c>
      <c r="G261" s="14">
        <v>504.8800</v>
      </c>
      <c r="H261" s="14">
        <v>0</v>
      </c>
      <c r="I261" s="14">
        <v>504.8800</v>
      </c>
      <c r="J261" s="13" t="s">
        <v>17</v>
      </c>
    </row>
    <row r="262" ht="10.95" customHeight="true" customFormat="true" s="8">
      <c r="A262" s="15" t="s">
        <v>334</v>
      </c>
      <c r="B262" s="15"/>
      <c r="C262" s="15"/>
      <c r="D262" s="15"/>
      <c r="E262" s="15"/>
      <c r="F262" s="16">
        <f ca="1">SUM(F259:F261)</f>
        <v>0</v>
      </c>
      <c r="G262" s="16">
        <f ca="1">SUM(G259:G261)</f>
        <v>0</v>
      </c>
      <c r="H262" s="16">
        <f ca="1">SUM(H259:H261)</f>
        <v>0</v>
      </c>
      <c r="I262" s="16">
        <f ca="1">SUM(I259:I261)</f>
        <v>0</v>
      </c>
      <c r="J262" s="15"/>
    </row>
    <row r="263" ht="13.35" customHeight="true"/>
    <row r="264" ht="12.1" customHeight="true" customFormat="true" s="5">
      <c r="A264" s="17" t="s">
        <v>335</v>
      </c>
      <c r="B264" s="17"/>
      <c r="C264" s="17"/>
      <c r="D264" s="17"/>
      <c r="E264" s="17"/>
      <c r="F264" s="17"/>
      <c r="G264" s="17"/>
      <c r="H264" s="17"/>
      <c r="I264" s="17"/>
      <c r="J264" s="17"/>
    </row>
    <row r="265" ht="21.3" customHeight="true" customFormat="true" s="8">
      <c r="A265" s="9">
        <v>44582</v>
      </c>
      <c r="B265" s="10" t="s">
        <v>36</v>
      </c>
      <c r="C265" s="19" t="s">
        <v>336</v>
      </c>
      <c r="D265" s="10" t="s">
        <v>337</v>
      </c>
      <c r="E265" s="10" t="s">
        <v>16</v>
      </c>
      <c r="F265" s="11">
        <v>0</v>
      </c>
      <c r="G265" s="11">
        <v>1044.6400</v>
      </c>
      <c r="H265" s="11">
        <v>0</v>
      </c>
      <c r="I265" s="11">
        <v>1044.6400</v>
      </c>
      <c r="J265" s="10" t="s">
        <v>40</v>
      </c>
    </row>
    <row r="266" ht="21.3" customHeight="true" customFormat="true" s="8">
      <c r="A266" s="12">
        <v>44582</v>
      </c>
      <c r="B266" s="13" t="s">
        <v>36</v>
      </c>
      <c r="C266" s="18" t="s">
        <v>338</v>
      </c>
      <c r="D266" s="13" t="s">
        <v>337</v>
      </c>
      <c r="E266" s="13" t="s">
        <v>16</v>
      </c>
      <c r="F266" s="14">
        <v>0</v>
      </c>
      <c r="G266" s="14">
        <v>771.4400</v>
      </c>
      <c r="H266" s="14">
        <v>0</v>
      </c>
      <c r="I266" s="14">
        <v>771.4400</v>
      </c>
      <c r="J266" s="13" t="s">
        <v>31</v>
      </c>
    </row>
    <row r="267" ht="21.3" customHeight="true" customFormat="true" s="8">
      <c r="A267" s="12">
        <v>44582</v>
      </c>
      <c r="B267" s="13" t="s">
        <v>36</v>
      </c>
      <c r="C267" s="18" t="s">
        <v>339</v>
      </c>
      <c r="D267" s="13" t="s">
        <v>337</v>
      </c>
      <c r="E267" s="13" t="s">
        <v>16</v>
      </c>
      <c r="F267" s="14">
        <v>0</v>
      </c>
      <c r="G267" s="14">
        <v>1080.0000</v>
      </c>
      <c r="H267" s="14">
        <v>0</v>
      </c>
      <c r="I267" s="14">
        <v>1080.0000</v>
      </c>
      <c r="J267" s="13" t="s">
        <v>40</v>
      </c>
    </row>
    <row r="268" ht="10.95" customHeight="true" customFormat="true" s="8">
      <c r="A268" s="12">
        <v>44588</v>
      </c>
      <c r="B268" s="13" t="s">
        <v>153</v>
      </c>
      <c r="C268" s="13" t="s">
        <v>340</v>
      </c>
      <c r="D268" s="13" t="s">
        <v>341</v>
      </c>
      <c r="E268" s="13" t="s">
        <v>16</v>
      </c>
      <c r="F268" s="14">
        <v>0</v>
      </c>
      <c r="G268" s="14">
        <v>40.5400</v>
      </c>
      <c r="H268" s="14">
        <v>0</v>
      </c>
      <c r="I268" s="14">
        <v>40.5400</v>
      </c>
      <c r="J268" s="13" t="s">
        <v>56</v>
      </c>
    </row>
    <row r="269" ht="10.95" customHeight="true" customFormat="true" s="8">
      <c r="A269" s="15" t="s">
        <v>342</v>
      </c>
      <c r="B269" s="15"/>
      <c r="C269" s="15"/>
      <c r="D269" s="15"/>
      <c r="E269" s="15"/>
      <c r="F269" s="16">
        <f ca="1">SUM(F265:F268)</f>
        <v>0</v>
      </c>
      <c r="G269" s="16">
        <f ca="1">SUM(G265:G268)</f>
        <v>0</v>
      </c>
      <c r="H269" s="16">
        <f ca="1">SUM(H265:H268)</f>
        <v>0</v>
      </c>
      <c r="I269" s="16">
        <f ca="1">SUM(I265:I268)</f>
        <v>0</v>
      </c>
      <c r="J269" s="15"/>
    </row>
    <row r="270" ht="13.35" customHeight="true"/>
    <row r="271" ht="12.1" customHeight="true" customFormat="true" s="5">
      <c r="A271" s="17" t="s">
        <v>343</v>
      </c>
      <c r="B271" s="17"/>
      <c r="C271" s="17"/>
      <c r="D271" s="17"/>
      <c r="E271" s="17"/>
      <c r="F271" s="17"/>
      <c r="G271" s="17"/>
      <c r="H271" s="17"/>
      <c r="I271" s="17"/>
      <c r="J271" s="17"/>
    </row>
    <row r="272" ht="42" customHeight="true" customFormat="true" s="8">
      <c r="A272" s="9">
        <v>44760</v>
      </c>
      <c r="B272" s="10" t="s">
        <v>36</v>
      </c>
      <c r="C272" s="19" t="s">
        <v>344</v>
      </c>
      <c r="D272" s="10" t="s">
        <v>345</v>
      </c>
      <c r="E272" s="10" t="s">
        <v>16</v>
      </c>
      <c r="F272" s="11">
        <v>0</v>
      </c>
      <c r="G272" s="11">
        <v>14700.0000</v>
      </c>
      <c r="H272" s="11">
        <v>0</v>
      </c>
      <c r="I272" s="11">
        <v>14700.0000</v>
      </c>
      <c r="J272" s="10" t="s">
        <v>40</v>
      </c>
    </row>
    <row r="273" ht="42" customHeight="true" customFormat="true" s="8">
      <c r="A273" s="12">
        <v>44760</v>
      </c>
      <c r="B273" s="13" t="s">
        <v>36</v>
      </c>
      <c r="C273" s="18" t="s">
        <v>346</v>
      </c>
      <c r="D273" s="13" t="s">
        <v>345</v>
      </c>
      <c r="E273" s="13" t="s">
        <v>16</v>
      </c>
      <c r="F273" s="14">
        <v>0</v>
      </c>
      <c r="G273" s="14">
        <v>18427.5000</v>
      </c>
      <c r="H273" s="14">
        <v>0</v>
      </c>
      <c r="I273" s="14">
        <v>18427.5000</v>
      </c>
      <c r="J273" s="13" t="s">
        <v>40</v>
      </c>
    </row>
    <row r="274" ht="42" customHeight="true" customFormat="true" s="8">
      <c r="A274" s="12">
        <v>44760</v>
      </c>
      <c r="B274" s="13" t="s">
        <v>36</v>
      </c>
      <c r="C274" s="18" t="s">
        <v>347</v>
      </c>
      <c r="D274" s="13" t="s">
        <v>345</v>
      </c>
      <c r="E274" s="13" t="s">
        <v>16</v>
      </c>
      <c r="F274" s="14">
        <v>0</v>
      </c>
      <c r="G274" s="14">
        <v>9900.0000</v>
      </c>
      <c r="H274" s="14">
        <v>0</v>
      </c>
      <c r="I274" s="14">
        <v>9900.0000</v>
      </c>
      <c r="J274" s="13" t="s">
        <v>40</v>
      </c>
    </row>
    <row r="275" ht="31.65" customHeight="true" customFormat="true" s="8">
      <c r="A275" s="12">
        <v>44760</v>
      </c>
      <c r="B275" s="13" t="s">
        <v>36</v>
      </c>
      <c r="C275" s="18" t="s">
        <v>348</v>
      </c>
      <c r="D275" s="13" t="s">
        <v>345</v>
      </c>
      <c r="E275" s="13" t="s">
        <v>16</v>
      </c>
      <c r="F275" s="14">
        <v>0</v>
      </c>
      <c r="G275" s="14">
        <v>2424.0000</v>
      </c>
      <c r="H275" s="14">
        <v>0</v>
      </c>
      <c r="I275" s="14">
        <v>2424.0000</v>
      </c>
      <c r="J275" s="13" t="s">
        <v>31</v>
      </c>
    </row>
    <row r="276" ht="31.65" customHeight="true" customFormat="true" s="8">
      <c r="A276" s="12">
        <v>44760</v>
      </c>
      <c r="B276" s="13" t="s">
        <v>36</v>
      </c>
      <c r="C276" s="18" t="s">
        <v>349</v>
      </c>
      <c r="D276" s="13" t="s">
        <v>345</v>
      </c>
      <c r="E276" s="13" t="s">
        <v>16</v>
      </c>
      <c r="F276" s="14">
        <v>0</v>
      </c>
      <c r="G276" s="14">
        <v>11400.0000</v>
      </c>
      <c r="H276" s="14">
        <v>0</v>
      </c>
      <c r="I276" s="14">
        <v>11400.0000</v>
      </c>
      <c r="J276" s="13" t="s">
        <v>31</v>
      </c>
    </row>
    <row r="277" ht="21.3" customHeight="true" customFormat="true" s="8">
      <c r="A277" s="12">
        <v>44760</v>
      </c>
      <c r="B277" s="13" t="s">
        <v>36</v>
      </c>
      <c r="C277" s="18" t="s">
        <v>350</v>
      </c>
      <c r="D277" s="13" t="s">
        <v>345</v>
      </c>
      <c r="E277" s="13" t="s">
        <v>16</v>
      </c>
      <c r="F277" s="14">
        <v>0</v>
      </c>
      <c r="G277" s="14">
        <v>270.0000</v>
      </c>
      <c r="H277" s="14">
        <v>0</v>
      </c>
      <c r="I277" s="14">
        <v>270.0000</v>
      </c>
      <c r="J277" s="13" t="s">
        <v>40</v>
      </c>
    </row>
    <row r="278" ht="21.3" customHeight="true" customFormat="true" s="8">
      <c r="A278" s="12">
        <v>44760</v>
      </c>
      <c r="B278" s="13" t="s">
        <v>36</v>
      </c>
      <c r="C278" s="18" t="s">
        <v>351</v>
      </c>
      <c r="D278" s="13" t="s">
        <v>345</v>
      </c>
      <c r="E278" s="13" t="s">
        <v>16</v>
      </c>
      <c r="F278" s="14">
        <v>0</v>
      </c>
      <c r="G278" s="14">
        <v>90.0000</v>
      </c>
      <c r="H278" s="14">
        <v>0</v>
      </c>
      <c r="I278" s="14">
        <v>90.0000</v>
      </c>
      <c r="J278" s="13" t="s">
        <v>40</v>
      </c>
    </row>
    <row r="279" ht="31.65" customHeight="true" customFormat="true" s="8">
      <c r="A279" s="12">
        <v>44760</v>
      </c>
      <c r="B279" s="13" t="s">
        <v>36</v>
      </c>
      <c r="C279" s="18" t="s">
        <v>352</v>
      </c>
      <c r="D279" s="13" t="s">
        <v>345</v>
      </c>
      <c r="E279" s="13" t="s">
        <v>16</v>
      </c>
      <c r="F279" s="14">
        <v>0</v>
      </c>
      <c r="G279" s="14">
        <v>1320.0000</v>
      </c>
      <c r="H279" s="14">
        <v>0</v>
      </c>
      <c r="I279" s="14">
        <v>1320.0000</v>
      </c>
      <c r="J279" s="13" t="s">
        <v>40</v>
      </c>
    </row>
    <row r="280" ht="31.65" customHeight="true" customFormat="true" s="8">
      <c r="A280" s="12">
        <v>44760</v>
      </c>
      <c r="B280" s="13" t="s">
        <v>36</v>
      </c>
      <c r="C280" s="18" t="s">
        <v>353</v>
      </c>
      <c r="D280" s="13" t="s">
        <v>345</v>
      </c>
      <c r="E280" s="13" t="s">
        <v>16</v>
      </c>
      <c r="F280" s="14">
        <v>0</v>
      </c>
      <c r="G280" s="14">
        <v>1312.0000</v>
      </c>
      <c r="H280" s="14">
        <v>0</v>
      </c>
      <c r="I280" s="14">
        <v>1312.0000</v>
      </c>
      <c r="J280" s="13" t="s">
        <v>40</v>
      </c>
    </row>
    <row r="281" ht="21.3" customHeight="true" customFormat="true" s="8">
      <c r="A281" s="12">
        <v>44760</v>
      </c>
      <c r="B281" s="13" t="s">
        <v>36</v>
      </c>
      <c r="C281" s="18" t="s">
        <v>354</v>
      </c>
      <c r="D281" s="13" t="s">
        <v>345</v>
      </c>
      <c r="E281" s="13" t="s">
        <v>16</v>
      </c>
      <c r="F281" s="14">
        <v>0</v>
      </c>
      <c r="G281" s="14">
        <v>187.5000</v>
      </c>
      <c r="H281" s="14">
        <v>0</v>
      </c>
      <c r="I281" s="14">
        <v>187.5000</v>
      </c>
      <c r="J281" s="13" t="s">
        <v>40</v>
      </c>
    </row>
    <row r="282" ht="31.65" customHeight="true" customFormat="true" s="8">
      <c r="A282" s="12">
        <v>44760</v>
      </c>
      <c r="B282" s="13" t="s">
        <v>36</v>
      </c>
      <c r="C282" s="18" t="s">
        <v>355</v>
      </c>
      <c r="D282" s="13" t="s">
        <v>345</v>
      </c>
      <c r="E282" s="13" t="s">
        <v>16</v>
      </c>
      <c r="F282" s="14">
        <v>0</v>
      </c>
      <c r="G282" s="14">
        <v>480.0000</v>
      </c>
      <c r="H282" s="14">
        <v>0</v>
      </c>
      <c r="I282" s="14">
        <v>480.0000</v>
      </c>
      <c r="J282" s="13" t="s">
        <v>40</v>
      </c>
    </row>
    <row r="283" ht="21.3" customHeight="true" customFormat="true" s="8">
      <c r="A283" s="12">
        <v>44760</v>
      </c>
      <c r="B283" s="13" t="s">
        <v>36</v>
      </c>
      <c r="C283" s="18" t="s">
        <v>356</v>
      </c>
      <c r="D283" s="13" t="s">
        <v>345</v>
      </c>
      <c r="E283" s="13" t="s">
        <v>16</v>
      </c>
      <c r="F283" s="14">
        <v>0</v>
      </c>
      <c r="G283" s="14">
        <v>406.0400</v>
      </c>
      <c r="H283" s="14">
        <v>0</v>
      </c>
      <c r="I283" s="14">
        <v>406.0400</v>
      </c>
      <c r="J283" s="13" t="s">
        <v>40</v>
      </c>
    </row>
    <row r="284" ht="10.95" customHeight="true" customFormat="true" s="8">
      <c r="A284" s="12">
        <v>44760</v>
      </c>
      <c r="B284" s="13" t="s">
        <v>36</v>
      </c>
      <c r="C284" s="13" t="s">
        <v>357</v>
      </c>
      <c r="D284" s="13" t="s">
        <v>345</v>
      </c>
      <c r="E284" s="13" t="s">
        <v>16</v>
      </c>
      <c r="F284" s="14">
        <v>0</v>
      </c>
      <c r="G284" s="14">
        <v>250.0000</v>
      </c>
      <c r="H284" s="14">
        <v>0</v>
      </c>
      <c r="I284" s="14">
        <v>250.0000</v>
      </c>
      <c r="J284" s="13" t="s">
        <v>40</v>
      </c>
    </row>
    <row r="285" ht="42" customHeight="true" customFormat="true" s="8">
      <c r="A285" s="12">
        <v>44760</v>
      </c>
      <c r="B285" s="13" t="s">
        <v>36</v>
      </c>
      <c r="C285" s="18" t="s">
        <v>358</v>
      </c>
      <c r="D285" s="13" t="s">
        <v>345</v>
      </c>
      <c r="E285" s="13" t="s">
        <v>16</v>
      </c>
      <c r="F285" s="14">
        <v>0</v>
      </c>
      <c r="G285" s="14">
        <v>450.0000</v>
      </c>
      <c r="H285" s="14">
        <v>0</v>
      </c>
      <c r="I285" s="14">
        <v>450.0000</v>
      </c>
      <c r="J285" s="13" t="s">
        <v>40</v>
      </c>
    </row>
    <row r="286" ht="52.35" customHeight="true" customFormat="true" s="8">
      <c r="A286" s="12">
        <v>44760</v>
      </c>
      <c r="B286" s="13" t="s">
        <v>36</v>
      </c>
      <c r="C286" s="18" t="s">
        <v>359</v>
      </c>
      <c r="D286" s="13" t="s">
        <v>345</v>
      </c>
      <c r="E286" s="13" t="s">
        <v>16</v>
      </c>
      <c r="F286" s="14">
        <v>0</v>
      </c>
      <c r="G286" s="14">
        <v>900.0000</v>
      </c>
      <c r="H286" s="14">
        <v>0</v>
      </c>
      <c r="I286" s="14">
        <v>900.0000</v>
      </c>
      <c r="J286" s="13" t="s">
        <v>40</v>
      </c>
    </row>
    <row r="287" ht="42" customHeight="true" customFormat="true" s="8">
      <c r="A287" s="12">
        <v>44760</v>
      </c>
      <c r="B287" s="13" t="s">
        <v>36</v>
      </c>
      <c r="C287" s="18" t="s">
        <v>360</v>
      </c>
      <c r="D287" s="13" t="s">
        <v>345</v>
      </c>
      <c r="E287" s="13" t="s">
        <v>16</v>
      </c>
      <c r="F287" s="14">
        <v>0</v>
      </c>
      <c r="G287" s="14">
        <v>550.0000</v>
      </c>
      <c r="H287" s="14">
        <v>0</v>
      </c>
      <c r="I287" s="14">
        <v>550.0000</v>
      </c>
      <c r="J287" s="13" t="s">
        <v>40</v>
      </c>
    </row>
    <row r="288" ht="10.95" customHeight="true" customFormat="true" s="8">
      <c r="A288" s="12">
        <v>44760</v>
      </c>
      <c r="B288" s="13" t="s">
        <v>36</v>
      </c>
      <c r="C288" s="13" t="s">
        <v>361</v>
      </c>
      <c r="D288" s="13" t="s">
        <v>345</v>
      </c>
      <c r="E288" s="13" t="s">
        <v>16</v>
      </c>
      <c r="F288" s="14">
        <v>0</v>
      </c>
      <c r="G288" s="14">
        <v>500.0000</v>
      </c>
      <c r="H288" s="14">
        <v>0</v>
      </c>
      <c r="I288" s="14">
        <v>500.0000</v>
      </c>
      <c r="J288" s="13" t="s">
        <v>40</v>
      </c>
    </row>
    <row r="289" ht="10.95" customHeight="true" customFormat="true" s="8">
      <c r="A289" s="15" t="s">
        <v>362</v>
      </c>
      <c r="B289" s="15"/>
      <c r="C289" s="15"/>
      <c r="D289" s="15"/>
      <c r="E289" s="15"/>
      <c r="F289" s="16">
        <f ca="1">SUM(F272:F288)</f>
        <v>0</v>
      </c>
      <c r="G289" s="16">
        <f ca="1">SUM(G272:G288)</f>
        <v>0</v>
      </c>
      <c r="H289" s="16">
        <f ca="1">SUM(H272:H288)</f>
        <v>0</v>
      </c>
      <c r="I289" s="16">
        <f ca="1">SUM(I272:I288)</f>
        <v>0</v>
      </c>
      <c r="J289" s="15"/>
    </row>
    <row r="290" ht="13.35" customHeight="true"/>
    <row r="291" ht="12.1" customHeight="true" customFormat="true" s="5">
      <c r="A291" s="17" t="s">
        <v>363</v>
      </c>
      <c r="B291" s="17"/>
      <c r="C291" s="17"/>
      <c r="D291" s="17"/>
      <c r="E291" s="17"/>
      <c r="F291" s="17"/>
      <c r="G291" s="17"/>
      <c r="H291" s="17"/>
      <c r="I291" s="17"/>
      <c r="J291" s="17"/>
    </row>
    <row r="292" ht="21.3" customHeight="true" customFormat="true" s="8">
      <c r="A292" s="9">
        <v>44586</v>
      </c>
      <c r="B292" s="10" t="s">
        <v>36</v>
      </c>
      <c r="C292" s="19" t="s">
        <v>364</v>
      </c>
      <c r="D292" s="10" t="s">
        <v>365</v>
      </c>
      <c r="E292" s="10" t="s">
        <v>16</v>
      </c>
      <c r="F292" s="11">
        <v>0</v>
      </c>
      <c r="G292" s="11">
        <v>1160.7100</v>
      </c>
      <c r="H292" s="11">
        <v>0</v>
      </c>
      <c r="I292" s="11">
        <v>1160.7100</v>
      </c>
      <c r="J292" s="10" t="s">
        <v>31</v>
      </c>
    </row>
    <row r="293" ht="21.3" customHeight="true" customFormat="true" s="8">
      <c r="A293" s="12">
        <v>44586</v>
      </c>
      <c r="B293" s="13" t="s">
        <v>36</v>
      </c>
      <c r="C293" s="18" t="s">
        <v>366</v>
      </c>
      <c r="D293" s="13" t="s">
        <v>365</v>
      </c>
      <c r="E293" s="13" t="s">
        <v>16</v>
      </c>
      <c r="F293" s="14">
        <v>0</v>
      </c>
      <c r="G293" s="14">
        <v>4290.0000</v>
      </c>
      <c r="H293" s="14">
        <v>0</v>
      </c>
      <c r="I293" s="14">
        <v>4290.0000</v>
      </c>
      <c r="J293" s="13" t="s">
        <v>31</v>
      </c>
    </row>
    <row r="294" ht="10.95" customHeight="true" customFormat="true" s="8">
      <c r="A294" s="12">
        <v>44586</v>
      </c>
      <c r="B294" s="13" t="s">
        <v>36</v>
      </c>
      <c r="C294" s="13" t="s">
        <v>367</v>
      </c>
      <c r="D294" s="13" t="s">
        <v>365</v>
      </c>
      <c r="E294" s="13" t="s">
        <v>16</v>
      </c>
      <c r="F294" s="14">
        <v>0</v>
      </c>
      <c r="G294" s="14">
        <v>100.0000</v>
      </c>
      <c r="H294" s="14">
        <v>0</v>
      </c>
      <c r="I294" s="14">
        <v>100.0000</v>
      </c>
      <c r="J294" s="13" t="s">
        <v>40</v>
      </c>
    </row>
    <row r="295" ht="10.95" customHeight="true" customFormat="true" s="8">
      <c r="A295" s="12">
        <v>44586</v>
      </c>
      <c r="B295" s="13" t="s">
        <v>36</v>
      </c>
      <c r="C295" s="13" t="s">
        <v>368</v>
      </c>
      <c r="D295" s="13" t="s">
        <v>365</v>
      </c>
      <c r="E295" s="13" t="s">
        <v>16</v>
      </c>
      <c r="F295" s="14">
        <v>0</v>
      </c>
      <c r="G295" s="14">
        <v>7878.0000</v>
      </c>
      <c r="H295" s="14">
        <v>0</v>
      </c>
      <c r="I295" s="14">
        <v>7878.0000</v>
      </c>
      <c r="J295" s="13" t="s">
        <v>40</v>
      </c>
    </row>
    <row r="296" ht="10.95" customHeight="true" customFormat="true" s="8">
      <c r="A296" s="12">
        <v>44586</v>
      </c>
      <c r="B296" s="13" t="s">
        <v>36</v>
      </c>
      <c r="C296" s="13" t="s">
        <v>369</v>
      </c>
      <c r="D296" s="13" t="s">
        <v>365</v>
      </c>
      <c r="E296" s="13" t="s">
        <v>16</v>
      </c>
      <c r="F296" s="14">
        <v>0</v>
      </c>
      <c r="G296" s="14">
        <v>400.0000</v>
      </c>
      <c r="H296" s="14">
        <v>0</v>
      </c>
      <c r="I296" s="14">
        <v>400.0000</v>
      </c>
      <c r="J296" s="13" t="s">
        <v>40</v>
      </c>
    </row>
    <row r="297" ht="10.95" customHeight="true" customFormat="true" s="8">
      <c r="A297" s="12">
        <v>44586</v>
      </c>
      <c r="B297" s="13" t="s">
        <v>36</v>
      </c>
      <c r="C297" s="13" t="s">
        <v>370</v>
      </c>
      <c r="D297" s="13" t="s">
        <v>365</v>
      </c>
      <c r="E297" s="13" t="s">
        <v>16</v>
      </c>
      <c r="F297" s="14">
        <v>0</v>
      </c>
      <c r="G297" s="14">
        <v>300.0000</v>
      </c>
      <c r="H297" s="14">
        <v>0</v>
      </c>
      <c r="I297" s="14">
        <v>300.0000</v>
      </c>
      <c r="J297" s="13" t="s">
        <v>40</v>
      </c>
    </row>
    <row r="298" ht="10.95" customHeight="true" customFormat="true" s="8">
      <c r="A298" s="12">
        <v>44586</v>
      </c>
      <c r="B298" s="13" t="s">
        <v>36</v>
      </c>
      <c r="C298" s="13" t="s">
        <v>371</v>
      </c>
      <c r="D298" s="13" t="s">
        <v>365</v>
      </c>
      <c r="E298" s="13" t="s">
        <v>16</v>
      </c>
      <c r="F298" s="14">
        <v>0</v>
      </c>
      <c r="G298" s="14">
        <v>680.0000</v>
      </c>
      <c r="H298" s="14">
        <v>0</v>
      </c>
      <c r="I298" s="14">
        <v>680.0000</v>
      </c>
      <c r="J298" s="13" t="s">
        <v>40</v>
      </c>
    </row>
    <row r="299" ht="10.95" customHeight="true" customFormat="true" s="8">
      <c r="A299" s="12">
        <v>44586</v>
      </c>
      <c r="B299" s="13" t="s">
        <v>36</v>
      </c>
      <c r="C299" s="13" t="s">
        <v>372</v>
      </c>
      <c r="D299" s="13" t="s">
        <v>365</v>
      </c>
      <c r="E299" s="13" t="s">
        <v>16</v>
      </c>
      <c r="F299" s="14">
        <v>0</v>
      </c>
      <c r="G299" s="14">
        <v>360.0000</v>
      </c>
      <c r="H299" s="14">
        <v>0</v>
      </c>
      <c r="I299" s="14">
        <v>360.0000</v>
      </c>
      <c r="J299" s="13" t="s">
        <v>40</v>
      </c>
    </row>
    <row r="300" ht="10.95" customHeight="true" customFormat="true" s="8">
      <c r="A300" s="12">
        <v>44586</v>
      </c>
      <c r="B300" s="13" t="s">
        <v>36</v>
      </c>
      <c r="C300" s="13" t="s">
        <v>373</v>
      </c>
      <c r="D300" s="13" t="s">
        <v>365</v>
      </c>
      <c r="E300" s="13" t="s">
        <v>16</v>
      </c>
      <c r="F300" s="14">
        <v>0</v>
      </c>
      <c r="G300" s="14">
        <v>150.0000</v>
      </c>
      <c r="H300" s="14">
        <v>0</v>
      </c>
      <c r="I300" s="14">
        <v>150.0000</v>
      </c>
      <c r="J300" s="13" t="s">
        <v>40</v>
      </c>
    </row>
    <row r="301" ht="10.95" customHeight="true" customFormat="true" s="8">
      <c r="A301" s="12">
        <v>44586</v>
      </c>
      <c r="B301" s="13" t="s">
        <v>36</v>
      </c>
      <c r="C301" s="13" t="s">
        <v>374</v>
      </c>
      <c r="D301" s="13" t="s">
        <v>365</v>
      </c>
      <c r="E301" s="13" t="s">
        <v>16</v>
      </c>
      <c r="F301" s="14">
        <v>0</v>
      </c>
      <c r="G301" s="14">
        <v>520.0000</v>
      </c>
      <c r="H301" s="14">
        <v>0</v>
      </c>
      <c r="I301" s="14">
        <v>520.0000</v>
      </c>
      <c r="J301" s="13" t="s">
        <v>40</v>
      </c>
    </row>
    <row r="302" ht="10.95" customHeight="true" customFormat="true" s="8">
      <c r="A302" s="12">
        <v>44586</v>
      </c>
      <c r="B302" s="13" t="s">
        <v>36</v>
      </c>
      <c r="C302" s="13" t="s">
        <v>375</v>
      </c>
      <c r="D302" s="13" t="s">
        <v>365</v>
      </c>
      <c r="E302" s="13" t="s">
        <v>16</v>
      </c>
      <c r="F302" s="14">
        <v>0</v>
      </c>
      <c r="G302" s="14">
        <v>100.0000</v>
      </c>
      <c r="H302" s="14">
        <v>0</v>
      </c>
      <c r="I302" s="14">
        <v>100.0000</v>
      </c>
      <c r="J302" s="13" t="s">
        <v>40</v>
      </c>
    </row>
    <row r="303" ht="10.95" customHeight="true" customFormat="true" s="8">
      <c r="A303" s="12">
        <v>44609</v>
      </c>
      <c r="B303" s="13" t="s">
        <v>103</v>
      </c>
      <c r="C303" s="13" t="s">
        <v>376</v>
      </c>
      <c r="D303" s="13" t="s">
        <v>365</v>
      </c>
      <c r="E303" s="13" t="s">
        <v>16</v>
      </c>
      <c r="F303" s="14">
        <v>159.0000</v>
      </c>
      <c r="G303" s="14">
        <v>0</v>
      </c>
      <c r="H303" s="14">
        <v>159.0000</v>
      </c>
      <c r="I303" s="14">
        <v>0</v>
      </c>
      <c r="J303" s="13" t="s">
        <v>40</v>
      </c>
    </row>
    <row r="304" ht="31.65" customHeight="true" customFormat="true" s="8">
      <c r="A304" s="12">
        <v>44609</v>
      </c>
      <c r="B304" s="13" t="s">
        <v>36</v>
      </c>
      <c r="C304" s="18" t="s">
        <v>377</v>
      </c>
      <c r="D304" s="13" t="s">
        <v>378</v>
      </c>
      <c r="E304" s="13" t="s">
        <v>16</v>
      </c>
      <c r="F304" s="14">
        <v>0</v>
      </c>
      <c r="G304" s="14">
        <v>900.0000</v>
      </c>
      <c r="H304" s="14">
        <v>0</v>
      </c>
      <c r="I304" s="14">
        <v>900.0000</v>
      </c>
      <c r="J304" s="13" t="s">
        <v>40</v>
      </c>
    </row>
    <row r="305" ht="10.95" customHeight="true" customFormat="true" s="8">
      <c r="A305" s="12">
        <v>44609</v>
      </c>
      <c r="B305" s="13" t="s">
        <v>36</v>
      </c>
      <c r="C305" s="13" t="s">
        <v>379</v>
      </c>
      <c r="D305" s="13" t="s">
        <v>378</v>
      </c>
      <c r="E305" s="13" t="s">
        <v>16</v>
      </c>
      <c r="F305" s="14">
        <v>0</v>
      </c>
      <c r="G305" s="14">
        <v>75.0000</v>
      </c>
      <c r="H305" s="14">
        <v>0</v>
      </c>
      <c r="I305" s="14">
        <v>75.0000</v>
      </c>
      <c r="J305" s="13" t="s">
        <v>40</v>
      </c>
    </row>
    <row r="306" ht="10.95" customHeight="true" customFormat="true" s="8">
      <c r="A306" s="15" t="s">
        <v>380</v>
      </c>
      <c r="B306" s="15"/>
      <c r="C306" s="15"/>
      <c r="D306" s="15"/>
      <c r="E306" s="15"/>
      <c r="F306" s="16">
        <f ca="1">SUM(F292:F305)</f>
        <v>0</v>
      </c>
      <c r="G306" s="16">
        <f ca="1">SUM(G292:G305)</f>
        <v>0</v>
      </c>
      <c r="H306" s="16">
        <f ca="1">SUM(H292:H305)</f>
        <v>0</v>
      </c>
      <c r="I306" s="16">
        <f ca="1">SUM(I292:I305)</f>
        <v>0</v>
      </c>
      <c r="J306" s="15"/>
    </row>
    <row r="307" ht="13.35" customHeight="true"/>
    <row r="308" ht="12.1" customHeight="true" customFormat="true" s="5">
      <c r="A308" s="17" t="s">
        <v>381</v>
      </c>
      <c r="B308" s="17"/>
      <c r="C308" s="17"/>
      <c r="D308" s="17"/>
      <c r="E308" s="17"/>
      <c r="F308" s="17"/>
      <c r="G308" s="17"/>
      <c r="H308" s="17"/>
      <c r="I308" s="17"/>
      <c r="J308" s="17"/>
    </row>
    <row r="309" ht="10.95" customHeight="true" customFormat="true" s="8">
      <c r="A309" s="9">
        <v>45261</v>
      </c>
      <c r="B309" s="10" t="s">
        <v>36</v>
      </c>
      <c r="C309" s="10" t="s">
        <v>382</v>
      </c>
      <c r="D309" s="10" t="s">
        <v>383</v>
      </c>
      <c r="E309" s="10" t="s">
        <v>16</v>
      </c>
      <c r="F309" s="11">
        <v>0</v>
      </c>
      <c r="G309" s="11">
        <v>221.8000</v>
      </c>
      <c r="H309" s="11">
        <v>0</v>
      </c>
      <c r="I309" s="11">
        <v>221.8000</v>
      </c>
      <c r="J309" s="10" t="s">
        <v>17</v>
      </c>
    </row>
    <row r="310" ht="10.95" customHeight="true" customFormat="true" s="8">
      <c r="A310" s="15" t="s">
        <v>384</v>
      </c>
      <c r="B310" s="15"/>
      <c r="C310" s="15"/>
      <c r="D310" s="15"/>
      <c r="E310" s="15"/>
      <c r="F310" s="16">
        <f ca="1">F309</f>
        <v>0</v>
      </c>
      <c r="G310" s="16">
        <f ca="1">G309</f>
        <v>0</v>
      </c>
      <c r="H310" s="16">
        <f ca="1">H309</f>
        <v>0</v>
      </c>
      <c r="I310" s="16">
        <f ca="1">I309</f>
        <v>0</v>
      </c>
      <c r="J310" s="15"/>
    </row>
    <row r="311" ht="13.35" customHeight="true"/>
    <row r="312" ht="12.1" customHeight="true" customFormat="true" s="5">
      <c r="A312" s="17" t="s">
        <v>385</v>
      </c>
      <c r="B312" s="17"/>
      <c r="C312" s="17"/>
      <c r="D312" s="17"/>
      <c r="E312" s="17"/>
      <c r="F312" s="17"/>
      <c r="G312" s="17"/>
      <c r="H312" s="17"/>
      <c r="I312" s="17"/>
      <c r="J312" s="17"/>
    </row>
    <row r="313" ht="10.95" customHeight="true" customFormat="true" s="8">
      <c r="A313" s="9">
        <v>44487</v>
      </c>
      <c r="B313" s="10" t="s">
        <v>36</v>
      </c>
      <c r="C313" s="10" t="s">
        <v>386</v>
      </c>
      <c r="D313" s="10" t="s">
        <v>387</v>
      </c>
      <c r="E313" s="10" t="s">
        <v>16</v>
      </c>
      <c r="F313" s="11">
        <v>0</v>
      </c>
      <c r="G313" s="11">
        <v>8360.0000</v>
      </c>
      <c r="H313" s="11">
        <v>0</v>
      </c>
      <c r="I313" s="11">
        <v>8360.0000</v>
      </c>
      <c r="J313" s="10" t="s">
        <v>40</v>
      </c>
    </row>
    <row r="314" ht="10.95" customHeight="true" customFormat="true" s="8">
      <c r="A314" s="15" t="s">
        <v>388</v>
      </c>
      <c r="B314" s="15"/>
      <c r="C314" s="15"/>
      <c r="D314" s="15"/>
      <c r="E314" s="15"/>
      <c r="F314" s="16">
        <f ca="1">F313</f>
        <v>0</v>
      </c>
      <c r="G314" s="16">
        <f ca="1">G313</f>
        <v>0</v>
      </c>
      <c r="H314" s="16">
        <f ca="1">H313</f>
        <v>0</v>
      </c>
      <c r="I314" s="16">
        <f ca="1">I313</f>
        <v>0</v>
      </c>
      <c r="J314" s="15"/>
    </row>
    <row r="315" ht="13.35" customHeight="true"/>
    <row r="316" ht="12.1" customHeight="true" customFormat="true" s="5">
      <c r="A316" s="17" t="s">
        <v>389</v>
      </c>
      <c r="B316" s="17"/>
      <c r="C316" s="17"/>
      <c r="D316" s="17"/>
      <c r="E316" s="17"/>
      <c r="F316" s="17"/>
      <c r="G316" s="17"/>
      <c r="H316" s="17"/>
      <c r="I316" s="17"/>
      <c r="J316" s="17"/>
    </row>
    <row r="317" ht="10.95" customHeight="true" customFormat="true" s="8">
      <c r="A317" s="9">
        <v>44285</v>
      </c>
      <c r="B317" s="10" t="s">
        <v>153</v>
      </c>
      <c r="C317" s="10" t="s">
        <v>390</v>
      </c>
      <c r="D317" s="10" t="s">
        <v>391</v>
      </c>
      <c r="E317" s="10" t="s">
        <v>16</v>
      </c>
      <c r="F317" s="11">
        <v>0</v>
      </c>
      <c r="G317" s="11">
        <v>23.6200</v>
      </c>
      <c r="H317" s="11">
        <v>0</v>
      </c>
      <c r="I317" s="11">
        <v>23.6200</v>
      </c>
      <c r="J317" s="10" t="s">
        <v>56</v>
      </c>
    </row>
    <row r="318" ht="21.3" customHeight="true" customFormat="true" s="8">
      <c r="A318" s="12">
        <v>44285</v>
      </c>
      <c r="B318" s="13" t="s">
        <v>36</v>
      </c>
      <c r="C318" s="18" t="s">
        <v>392</v>
      </c>
      <c r="D318" s="13" t="s">
        <v>393</v>
      </c>
      <c r="E318" s="13" t="s">
        <v>16</v>
      </c>
      <c r="F318" s="14">
        <v>0</v>
      </c>
      <c r="G318" s="14">
        <v>1160.7100</v>
      </c>
      <c r="H318" s="14">
        <v>0</v>
      </c>
      <c r="I318" s="14">
        <v>1160.7100</v>
      </c>
      <c r="J318" s="13" t="s">
        <v>31</v>
      </c>
    </row>
    <row r="319" ht="21.3" customHeight="true" customFormat="true" s="8">
      <c r="A319" s="12">
        <v>44285</v>
      </c>
      <c r="B319" s="13" t="s">
        <v>36</v>
      </c>
      <c r="C319" s="18" t="s">
        <v>394</v>
      </c>
      <c r="D319" s="13" t="s">
        <v>393</v>
      </c>
      <c r="E319" s="13" t="s">
        <v>16</v>
      </c>
      <c r="F319" s="14">
        <v>0</v>
      </c>
      <c r="G319" s="14">
        <v>214.2900</v>
      </c>
      <c r="H319" s="14">
        <v>0</v>
      </c>
      <c r="I319" s="14">
        <v>214.2900</v>
      </c>
      <c r="J319" s="13" t="s">
        <v>31</v>
      </c>
    </row>
    <row r="320" ht="21.3" customHeight="true" customFormat="true" s="8">
      <c r="A320" s="12">
        <v>44285</v>
      </c>
      <c r="B320" s="13" t="s">
        <v>36</v>
      </c>
      <c r="C320" s="18" t="s">
        <v>395</v>
      </c>
      <c r="D320" s="13" t="s">
        <v>393</v>
      </c>
      <c r="E320" s="13" t="s">
        <v>16</v>
      </c>
      <c r="F320" s="14">
        <v>0</v>
      </c>
      <c r="G320" s="14">
        <v>112.1500</v>
      </c>
      <c r="H320" s="14">
        <v>0</v>
      </c>
      <c r="I320" s="14">
        <v>112.1500</v>
      </c>
      <c r="J320" s="13" t="s">
        <v>17</v>
      </c>
    </row>
    <row r="321" ht="21.3" customHeight="true" customFormat="true" s="8">
      <c r="A321" s="12">
        <v>44285</v>
      </c>
      <c r="B321" s="13" t="s">
        <v>36</v>
      </c>
      <c r="C321" s="18" t="s">
        <v>396</v>
      </c>
      <c r="D321" s="13" t="s">
        <v>393</v>
      </c>
      <c r="E321" s="13" t="s">
        <v>16</v>
      </c>
      <c r="F321" s="14">
        <v>0</v>
      </c>
      <c r="G321" s="14">
        <v>200.0000</v>
      </c>
      <c r="H321" s="14">
        <v>0</v>
      </c>
      <c r="I321" s="14">
        <v>200.0000</v>
      </c>
      <c r="J321" s="13" t="s">
        <v>40</v>
      </c>
    </row>
    <row r="322" ht="10.95" customHeight="true" customFormat="true" s="8">
      <c r="A322" s="15" t="s">
        <v>397</v>
      </c>
      <c r="B322" s="15"/>
      <c r="C322" s="15"/>
      <c r="D322" s="15"/>
      <c r="E322" s="15"/>
      <c r="F322" s="16">
        <f ca="1">SUM(F317:F321)</f>
        <v>0</v>
      </c>
      <c r="G322" s="16">
        <f ca="1">SUM(G317:G321)</f>
        <v>0</v>
      </c>
      <c r="H322" s="16">
        <f ca="1">SUM(H317:H321)</f>
        <v>0</v>
      </c>
      <c r="I322" s="16">
        <f ca="1">SUM(I317:I321)</f>
        <v>0</v>
      </c>
      <c r="J322" s="15"/>
    </row>
    <row r="323" ht="13.35" customHeight="true"/>
    <row r="324" ht="12.1" customHeight="true" customFormat="true" s="5">
      <c r="A324" s="17" t="s">
        <v>398</v>
      </c>
      <c r="B324" s="17"/>
      <c r="C324" s="17"/>
      <c r="D324" s="17"/>
      <c r="E324" s="17"/>
      <c r="F324" s="17"/>
      <c r="G324" s="17"/>
      <c r="H324" s="17"/>
      <c r="I324" s="17"/>
      <c r="J324" s="17"/>
    </row>
    <row r="325" ht="10.95" customHeight="true" customFormat="true" s="8">
      <c r="A325" s="9">
        <v>44473</v>
      </c>
      <c r="B325" s="10" t="s">
        <v>399</v>
      </c>
      <c r="C325" s="10" t="s">
        <v>400</v>
      </c>
      <c r="D325" s="10" t="s">
        <v>401</v>
      </c>
      <c r="E325" s="10" t="s">
        <v>16</v>
      </c>
      <c r="F325" s="11">
        <v>3000.0000</v>
      </c>
      <c r="G325" s="11">
        <v>0</v>
      </c>
      <c r="H325" s="11">
        <v>3000.0000</v>
      </c>
      <c r="I325" s="11">
        <v>0</v>
      </c>
      <c r="J325" s="10" t="s">
        <v>40</v>
      </c>
    </row>
    <row r="326" ht="10.95" customHeight="true" customFormat="true" s="8">
      <c r="A326" s="12">
        <v>44631</v>
      </c>
      <c r="B326" s="13" t="s">
        <v>36</v>
      </c>
      <c r="C326" s="13" t="s">
        <v>402</v>
      </c>
      <c r="D326" s="13" t="s">
        <v>403</v>
      </c>
      <c r="E326" s="13" t="s">
        <v>16</v>
      </c>
      <c r="F326" s="14">
        <v>0</v>
      </c>
      <c r="G326" s="14">
        <v>1035.8300</v>
      </c>
      <c r="H326" s="14">
        <v>0</v>
      </c>
      <c r="I326" s="14">
        <v>1035.8300</v>
      </c>
      <c r="J326" s="13" t="s">
        <v>17</v>
      </c>
    </row>
    <row r="327" ht="21.3" customHeight="true" customFormat="true" s="8">
      <c r="A327" s="12">
        <v>44680</v>
      </c>
      <c r="B327" s="13" t="s">
        <v>36</v>
      </c>
      <c r="C327" s="18" t="s">
        <v>404</v>
      </c>
      <c r="D327" s="13" t="s">
        <v>68</v>
      </c>
      <c r="E327" s="13" t="s">
        <v>16</v>
      </c>
      <c r="F327" s="14">
        <v>0</v>
      </c>
      <c r="G327" s="14">
        <v>780.7300</v>
      </c>
      <c r="H327" s="14">
        <v>0</v>
      </c>
      <c r="I327" s="14">
        <v>780.7300</v>
      </c>
      <c r="J327" s="13" t="s">
        <v>56</v>
      </c>
    </row>
    <row r="328" ht="21.3" customHeight="true" customFormat="true" s="8">
      <c r="A328" s="12">
        <v>44680</v>
      </c>
      <c r="B328" s="13" t="s">
        <v>36</v>
      </c>
      <c r="C328" s="18" t="s">
        <v>405</v>
      </c>
      <c r="D328" s="13" t="s">
        <v>68</v>
      </c>
      <c r="E328" s="13" t="s">
        <v>16</v>
      </c>
      <c r="F328" s="14">
        <v>0</v>
      </c>
      <c r="G328" s="14">
        <v>444.8300</v>
      </c>
      <c r="H328" s="14">
        <v>0</v>
      </c>
      <c r="I328" s="14">
        <v>444.8300</v>
      </c>
      <c r="J328" s="13" t="s">
        <v>56</v>
      </c>
    </row>
    <row r="329" ht="10.95" customHeight="true" customFormat="true" s="8">
      <c r="A329" s="12">
        <v>44844</v>
      </c>
      <c r="B329" s="13" t="s">
        <v>36</v>
      </c>
      <c r="C329" s="13" t="s">
        <v>406</v>
      </c>
      <c r="D329" s="13" t="s">
        <v>116</v>
      </c>
      <c r="E329" s="13" t="s">
        <v>16</v>
      </c>
      <c r="F329" s="14">
        <v>0</v>
      </c>
      <c r="G329" s="14">
        <v>768.4000</v>
      </c>
      <c r="H329" s="14">
        <v>0</v>
      </c>
      <c r="I329" s="14">
        <v>768.4000</v>
      </c>
      <c r="J329" s="13" t="s">
        <v>17</v>
      </c>
    </row>
    <row r="330" ht="10.95" customHeight="true" customFormat="true" s="8">
      <c r="A330" s="12">
        <v>44844</v>
      </c>
      <c r="B330" s="13" t="s">
        <v>36</v>
      </c>
      <c r="C330" s="13" t="s">
        <v>407</v>
      </c>
      <c r="D330" s="13" t="s">
        <v>116</v>
      </c>
      <c r="E330" s="13" t="s">
        <v>16</v>
      </c>
      <c r="F330" s="14">
        <v>0</v>
      </c>
      <c r="G330" s="14">
        <v>961.6600</v>
      </c>
      <c r="H330" s="14">
        <v>0</v>
      </c>
      <c r="I330" s="14">
        <v>961.6600</v>
      </c>
      <c r="J330" s="13" t="s">
        <v>17</v>
      </c>
    </row>
    <row r="331" ht="10.95" customHeight="true" customFormat="true" s="8">
      <c r="A331" s="12">
        <v>44844</v>
      </c>
      <c r="B331" s="13" t="s">
        <v>36</v>
      </c>
      <c r="C331" s="13" t="s">
        <v>408</v>
      </c>
      <c r="D331" s="13" t="s">
        <v>116</v>
      </c>
      <c r="E331" s="13" t="s">
        <v>16</v>
      </c>
      <c r="F331" s="14">
        <v>0</v>
      </c>
      <c r="G331" s="14">
        <v>1124.1600</v>
      </c>
      <c r="H331" s="14">
        <v>0</v>
      </c>
      <c r="I331" s="14">
        <v>1124.1600</v>
      </c>
      <c r="J331" s="13" t="s">
        <v>17</v>
      </c>
    </row>
    <row r="332" ht="10.95" customHeight="true" customFormat="true" s="8">
      <c r="A332" s="12">
        <v>44844</v>
      </c>
      <c r="B332" s="13" t="s">
        <v>36</v>
      </c>
      <c r="C332" s="13" t="s">
        <v>409</v>
      </c>
      <c r="D332" s="13" t="s">
        <v>116</v>
      </c>
      <c r="E332" s="13" t="s">
        <v>16</v>
      </c>
      <c r="F332" s="14">
        <v>0</v>
      </c>
      <c r="G332" s="14">
        <v>745.9000</v>
      </c>
      <c r="H332" s="14">
        <v>0</v>
      </c>
      <c r="I332" s="14">
        <v>745.9000</v>
      </c>
      <c r="J332" s="13" t="s">
        <v>17</v>
      </c>
    </row>
    <row r="333" ht="10.95" customHeight="true" customFormat="true" s="8">
      <c r="A333" s="12">
        <v>44844</v>
      </c>
      <c r="B333" s="13" t="s">
        <v>36</v>
      </c>
      <c r="C333" s="13" t="s">
        <v>410</v>
      </c>
      <c r="D333" s="13" t="s">
        <v>116</v>
      </c>
      <c r="E333" s="13" t="s">
        <v>16</v>
      </c>
      <c r="F333" s="14">
        <v>0</v>
      </c>
      <c r="G333" s="14">
        <v>1941.2700</v>
      </c>
      <c r="H333" s="14">
        <v>0</v>
      </c>
      <c r="I333" s="14">
        <v>1941.2700</v>
      </c>
      <c r="J333" s="13" t="s">
        <v>17</v>
      </c>
    </row>
    <row r="334" ht="10.95" customHeight="true" customFormat="true" s="8">
      <c r="A334" s="12">
        <v>44883</v>
      </c>
      <c r="B334" s="13" t="s">
        <v>36</v>
      </c>
      <c r="C334" s="13" t="s">
        <v>411</v>
      </c>
      <c r="D334" s="13" t="s">
        <v>412</v>
      </c>
      <c r="E334" s="13" t="s">
        <v>16</v>
      </c>
      <c r="F334" s="14">
        <v>0</v>
      </c>
      <c r="G334" s="14">
        <v>563.6800</v>
      </c>
      <c r="H334" s="14">
        <v>0</v>
      </c>
      <c r="I334" s="14">
        <v>563.6800</v>
      </c>
      <c r="J334" s="13" t="s">
        <v>17</v>
      </c>
    </row>
    <row r="335" ht="10.95" customHeight="true" customFormat="true" s="8">
      <c r="A335" s="12">
        <v>44971</v>
      </c>
      <c r="B335" s="13" t="s">
        <v>36</v>
      </c>
      <c r="C335" s="13" t="s">
        <v>413</v>
      </c>
      <c r="D335" s="13" t="s">
        <v>414</v>
      </c>
      <c r="E335" s="13" t="s">
        <v>16</v>
      </c>
      <c r="F335" s="14">
        <v>0</v>
      </c>
      <c r="G335" s="14">
        <v>862.1300</v>
      </c>
      <c r="H335" s="14">
        <v>0</v>
      </c>
      <c r="I335" s="14">
        <v>862.1300</v>
      </c>
      <c r="J335" s="13" t="s">
        <v>17</v>
      </c>
    </row>
    <row r="336" ht="10.95" customHeight="true" customFormat="true" s="8">
      <c r="A336" s="12">
        <v>44971</v>
      </c>
      <c r="B336" s="13" t="s">
        <v>36</v>
      </c>
      <c r="C336" s="13" t="s">
        <v>415</v>
      </c>
      <c r="D336" s="13" t="s">
        <v>414</v>
      </c>
      <c r="E336" s="13" t="s">
        <v>16</v>
      </c>
      <c r="F336" s="14">
        <v>0</v>
      </c>
      <c r="G336" s="14">
        <v>768.4300</v>
      </c>
      <c r="H336" s="14">
        <v>0</v>
      </c>
      <c r="I336" s="14">
        <v>768.4300</v>
      </c>
      <c r="J336" s="13" t="s">
        <v>17</v>
      </c>
    </row>
    <row r="337" ht="10.95" customHeight="true" customFormat="true" s="8">
      <c r="A337" s="12">
        <v>44971</v>
      </c>
      <c r="B337" s="13" t="s">
        <v>36</v>
      </c>
      <c r="C337" s="13" t="s">
        <v>416</v>
      </c>
      <c r="D337" s="13" t="s">
        <v>414</v>
      </c>
      <c r="E337" s="13" t="s">
        <v>16</v>
      </c>
      <c r="F337" s="14">
        <v>0</v>
      </c>
      <c r="G337" s="14">
        <v>513.9400</v>
      </c>
      <c r="H337" s="14">
        <v>0</v>
      </c>
      <c r="I337" s="14">
        <v>513.9400</v>
      </c>
      <c r="J337" s="13" t="s">
        <v>17</v>
      </c>
    </row>
    <row r="338" ht="10.95" customHeight="true" customFormat="true" s="8">
      <c r="A338" s="12">
        <v>45077</v>
      </c>
      <c r="B338" s="13" t="s">
        <v>36</v>
      </c>
      <c r="C338" s="13" t="s">
        <v>417</v>
      </c>
      <c r="D338" s="13" t="s">
        <v>418</v>
      </c>
      <c r="E338" s="13" t="s">
        <v>16</v>
      </c>
      <c r="F338" s="14">
        <v>0</v>
      </c>
      <c r="G338" s="14">
        <v>605.8800</v>
      </c>
      <c r="H338" s="14">
        <v>0</v>
      </c>
      <c r="I338" s="14">
        <v>605.8800</v>
      </c>
      <c r="J338" s="13" t="s">
        <v>17</v>
      </c>
    </row>
    <row r="339" ht="10.95" customHeight="true" customFormat="true" s="8">
      <c r="A339" s="12">
        <v>45113</v>
      </c>
      <c r="B339" s="13" t="s">
        <v>399</v>
      </c>
      <c r="C339" s="13" t="s">
        <v>419</v>
      </c>
      <c r="D339" s="13" t="s">
        <v>420</v>
      </c>
      <c r="E339" s="13" t="s">
        <v>16</v>
      </c>
      <c r="F339" s="14">
        <v>1650.0000</v>
      </c>
      <c r="G339" s="14">
        <v>0</v>
      </c>
      <c r="H339" s="14">
        <v>1650.0000</v>
      </c>
      <c r="I339" s="14">
        <v>0</v>
      </c>
      <c r="J339" s="13" t="s">
        <v>40</v>
      </c>
    </row>
    <row r="340" ht="10.95" customHeight="true" customFormat="true" s="8">
      <c r="A340" s="12">
        <v>45187</v>
      </c>
      <c r="B340" s="13" t="s">
        <v>36</v>
      </c>
      <c r="C340" s="13" t="s">
        <v>421</v>
      </c>
      <c r="D340" s="13" t="s">
        <v>422</v>
      </c>
      <c r="E340" s="13" t="s">
        <v>16</v>
      </c>
      <c r="F340" s="14">
        <v>0</v>
      </c>
      <c r="G340" s="14">
        <v>416.0100</v>
      </c>
      <c r="H340" s="14">
        <v>0</v>
      </c>
      <c r="I340" s="14">
        <v>416.0100</v>
      </c>
      <c r="J340" s="13" t="s">
        <v>17</v>
      </c>
    </row>
    <row r="341" ht="10.95" customHeight="true" customFormat="true" s="8">
      <c r="A341" s="12">
        <v>45187</v>
      </c>
      <c r="B341" s="13" t="s">
        <v>36</v>
      </c>
      <c r="C341" s="13" t="s">
        <v>423</v>
      </c>
      <c r="D341" s="13" t="s">
        <v>422</v>
      </c>
      <c r="E341" s="13" t="s">
        <v>16</v>
      </c>
      <c r="F341" s="14">
        <v>0</v>
      </c>
      <c r="G341" s="14">
        <v>516.0000</v>
      </c>
      <c r="H341" s="14">
        <v>0</v>
      </c>
      <c r="I341" s="14">
        <v>516.0000</v>
      </c>
      <c r="J341" s="13" t="s">
        <v>17</v>
      </c>
    </row>
    <row r="342" ht="10.95" customHeight="true" customFormat="true" s="8">
      <c r="A342" s="12">
        <v>45187</v>
      </c>
      <c r="B342" s="13" t="s">
        <v>36</v>
      </c>
      <c r="C342" s="13" t="s">
        <v>424</v>
      </c>
      <c r="D342" s="13" t="s">
        <v>422</v>
      </c>
      <c r="E342" s="13" t="s">
        <v>16</v>
      </c>
      <c r="F342" s="14">
        <v>0</v>
      </c>
      <c r="G342" s="14">
        <v>414.4600</v>
      </c>
      <c r="H342" s="14">
        <v>0</v>
      </c>
      <c r="I342" s="14">
        <v>414.4600</v>
      </c>
      <c r="J342" s="13" t="s">
        <v>17</v>
      </c>
    </row>
    <row r="343" ht="10.95" customHeight="true" customFormat="true" s="8">
      <c r="A343" s="12">
        <v>45187</v>
      </c>
      <c r="B343" s="13" t="s">
        <v>36</v>
      </c>
      <c r="C343" s="13" t="s">
        <v>425</v>
      </c>
      <c r="D343" s="13" t="s">
        <v>422</v>
      </c>
      <c r="E343" s="13" t="s">
        <v>16</v>
      </c>
      <c r="F343" s="14">
        <v>0</v>
      </c>
      <c r="G343" s="14">
        <v>489.4200</v>
      </c>
      <c r="H343" s="14">
        <v>0</v>
      </c>
      <c r="I343" s="14">
        <v>489.4200</v>
      </c>
      <c r="J343" s="13" t="s">
        <v>17</v>
      </c>
    </row>
    <row r="344" ht="10.95" customHeight="true" customFormat="true" s="8">
      <c r="A344" s="12">
        <v>45261</v>
      </c>
      <c r="B344" s="13" t="s">
        <v>36</v>
      </c>
      <c r="C344" s="13" t="s">
        <v>426</v>
      </c>
      <c r="D344" s="13" t="s">
        <v>427</v>
      </c>
      <c r="E344" s="13" t="s">
        <v>16</v>
      </c>
      <c r="F344" s="14">
        <v>0</v>
      </c>
      <c r="G344" s="14">
        <v>933.7300</v>
      </c>
      <c r="H344" s="14">
        <v>0</v>
      </c>
      <c r="I344" s="14">
        <v>933.7300</v>
      </c>
      <c r="J344" s="13" t="s">
        <v>17</v>
      </c>
    </row>
    <row r="345" ht="10.95" customHeight="true" customFormat="true" s="8">
      <c r="A345" s="12">
        <v>45261</v>
      </c>
      <c r="B345" s="13" t="s">
        <v>36</v>
      </c>
      <c r="C345" s="13" t="s">
        <v>428</v>
      </c>
      <c r="D345" s="13" t="s">
        <v>427</v>
      </c>
      <c r="E345" s="13" t="s">
        <v>16</v>
      </c>
      <c r="F345" s="14">
        <v>0</v>
      </c>
      <c r="G345" s="14">
        <v>329.7400</v>
      </c>
      <c r="H345" s="14">
        <v>0</v>
      </c>
      <c r="I345" s="14">
        <v>329.7400</v>
      </c>
      <c r="J345" s="13" t="s">
        <v>17</v>
      </c>
    </row>
    <row r="346" ht="10.95" customHeight="true" customFormat="true" s="8">
      <c r="A346" s="15" t="s">
        <v>429</v>
      </c>
      <c r="B346" s="15"/>
      <c r="C346" s="15"/>
      <c r="D346" s="15"/>
      <c r="E346" s="15"/>
      <c r="F346" s="16">
        <f ca="1">SUM(F325:F345)</f>
        <v>0</v>
      </c>
      <c r="G346" s="16">
        <f ca="1">SUM(G325:G345)</f>
        <v>0</v>
      </c>
      <c r="H346" s="16">
        <f ca="1">SUM(H325:H345)</f>
        <v>0</v>
      </c>
      <c r="I346" s="16">
        <f ca="1">SUM(I325:I345)</f>
        <v>0</v>
      </c>
      <c r="J346" s="15"/>
    </row>
    <row r="347" ht="13.35" customHeight="true"/>
    <row r="348" ht="12.1" customHeight="true" customFormat="true" s="5">
      <c r="A348" s="17" t="s">
        <v>430</v>
      </c>
      <c r="B348" s="17"/>
      <c r="C348" s="17"/>
      <c r="D348" s="17"/>
      <c r="E348" s="17"/>
      <c r="F348" s="17"/>
      <c r="G348" s="17"/>
      <c r="H348" s="17"/>
      <c r="I348" s="17"/>
      <c r="J348" s="17"/>
    </row>
    <row r="349" ht="10.95" customHeight="true" customFormat="true" s="8">
      <c r="A349" s="9">
        <v>44208</v>
      </c>
      <c r="B349" s="10" t="s">
        <v>36</v>
      </c>
      <c r="C349" s="10" t="s">
        <v>431</v>
      </c>
      <c r="D349" s="10" t="s">
        <v>432</v>
      </c>
      <c r="E349" s="10" t="s">
        <v>16</v>
      </c>
      <c r="F349" s="11">
        <v>0</v>
      </c>
      <c r="G349" s="11">
        <v>928.3200</v>
      </c>
      <c r="H349" s="11">
        <v>0</v>
      </c>
      <c r="I349" s="11">
        <v>928.3200</v>
      </c>
      <c r="J349" s="10" t="s">
        <v>17</v>
      </c>
    </row>
    <row r="350" ht="10.95" customHeight="true" customFormat="true" s="8">
      <c r="A350" s="12">
        <v>44236</v>
      </c>
      <c r="B350" s="13" t="s">
        <v>36</v>
      </c>
      <c r="C350" s="13" t="s">
        <v>433</v>
      </c>
      <c r="D350" s="13" t="s">
        <v>434</v>
      </c>
      <c r="E350" s="13" t="s">
        <v>16</v>
      </c>
      <c r="F350" s="14">
        <v>0</v>
      </c>
      <c r="G350" s="14">
        <v>928.3200</v>
      </c>
      <c r="H350" s="14">
        <v>0</v>
      </c>
      <c r="I350" s="14">
        <v>928.3200</v>
      </c>
      <c r="J350" s="13" t="s">
        <v>17</v>
      </c>
    </row>
    <row r="351" ht="10.95" customHeight="true" customFormat="true" s="8">
      <c r="A351" s="12">
        <v>44440</v>
      </c>
      <c r="B351" s="13" t="s">
        <v>36</v>
      </c>
      <c r="C351" s="13" t="s">
        <v>435</v>
      </c>
      <c r="D351" s="13" t="s">
        <v>436</v>
      </c>
      <c r="E351" s="13" t="s">
        <v>16</v>
      </c>
      <c r="F351" s="14">
        <v>0</v>
      </c>
      <c r="G351" s="14">
        <v>915.9900</v>
      </c>
      <c r="H351" s="14">
        <v>0</v>
      </c>
      <c r="I351" s="14">
        <v>915.9900</v>
      </c>
      <c r="J351" s="13" t="s">
        <v>40</v>
      </c>
    </row>
    <row r="352" ht="10.95" customHeight="true" customFormat="true" s="8">
      <c r="A352" s="15" t="s">
        <v>437</v>
      </c>
      <c r="B352" s="15"/>
      <c r="C352" s="15"/>
      <c r="D352" s="15"/>
      <c r="E352" s="15"/>
      <c r="F352" s="16">
        <f ca="1">SUM(F349:F351)</f>
        <v>0</v>
      </c>
      <c r="G352" s="16">
        <f ca="1">SUM(G349:G351)</f>
        <v>0</v>
      </c>
      <c r="H352" s="16">
        <f ca="1">SUM(H349:H351)</f>
        <v>0</v>
      </c>
      <c r="I352" s="16">
        <f ca="1">SUM(I349:I351)</f>
        <v>0</v>
      </c>
      <c r="J352" s="15"/>
    </row>
    <row r="353" ht="13.35" customHeight="true"/>
    <row r="354" ht="12.1" customHeight="true" customFormat="true" s="5">
      <c r="A354" s="17" t="s">
        <v>438</v>
      </c>
      <c r="B354" s="17"/>
      <c r="C354" s="17"/>
      <c r="D354" s="17"/>
      <c r="E354" s="17"/>
      <c r="F354" s="17"/>
      <c r="G354" s="17"/>
      <c r="H354" s="17"/>
      <c r="I354" s="17"/>
      <c r="J354" s="17"/>
    </row>
    <row r="355" ht="10.95" customHeight="true" customFormat="true" s="8">
      <c r="A355" s="9">
        <v>44207</v>
      </c>
      <c r="B355" s="10" t="s">
        <v>36</v>
      </c>
      <c r="C355" s="10" t="s">
        <v>439</v>
      </c>
      <c r="D355" s="10" t="s">
        <v>440</v>
      </c>
      <c r="E355" s="10" t="s">
        <v>16</v>
      </c>
      <c r="F355" s="11">
        <v>0</v>
      </c>
      <c r="G355" s="11">
        <v>0.8300</v>
      </c>
      <c r="H355" s="11">
        <v>0</v>
      </c>
      <c r="I355" s="11">
        <v>0.8300</v>
      </c>
      <c r="J355" s="10" t="s">
        <v>17</v>
      </c>
    </row>
    <row r="356" ht="10.95" customHeight="true" customFormat="true" s="8">
      <c r="A356" s="12">
        <v>44207</v>
      </c>
      <c r="B356" s="13" t="s">
        <v>153</v>
      </c>
      <c r="C356" s="13" t="s">
        <v>441</v>
      </c>
      <c r="D356" s="13" t="s">
        <v>442</v>
      </c>
      <c r="E356" s="13" t="s">
        <v>16</v>
      </c>
      <c r="F356" s="14">
        <v>0</v>
      </c>
      <c r="G356" s="14">
        <v>0.0100</v>
      </c>
      <c r="H356" s="14">
        <v>0</v>
      </c>
      <c r="I356" s="14">
        <v>0.0100</v>
      </c>
      <c r="J356" s="13" t="s">
        <v>56</v>
      </c>
    </row>
    <row r="357" ht="10.95" customHeight="true" customFormat="true" s="8">
      <c r="A357" s="15" t="s">
        <v>443</v>
      </c>
      <c r="B357" s="15"/>
      <c r="C357" s="15"/>
      <c r="D357" s="15"/>
      <c r="E357" s="15"/>
      <c r="F357" s="16">
        <f ca="1">SUM(F355:F356)</f>
        <v>0</v>
      </c>
      <c r="G357" s="16">
        <f ca="1">SUM(G355:G356)</f>
        <v>0</v>
      </c>
      <c r="H357" s="16">
        <f ca="1">SUM(H355:H356)</f>
        <v>0</v>
      </c>
      <c r="I357" s="16">
        <f ca="1">SUM(I355:I356)</f>
        <v>0</v>
      </c>
      <c r="J357" s="15"/>
    </row>
    <row r="358" ht="13.35" customHeight="true"/>
    <row r="359" ht="12.1" customHeight="true" customFormat="true" s="5">
      <c r="A359" s="17" t="s">
        <v>444</v>
      </c>
      <c r="B359" s="17"/>
      <c r="C359" s="17"/>
      <c r="D359" s="17"/>
      <c r="E359" s="17"/>
      <c r="F359" s="17"/>
      <c r="G359" s="17"/>
      <c r="H359" s="17"/>
      <c r="I359" s="17"/>
      <c r="J359" s="17"/>
    </row>
    <row r="360" ht="31.65" customHeight="true" customFormat="true" s="8">
      <c r="A360" s="9">
        <v>44726</v>
      </c>
      <c r="B360" s="10" t="s">
        <v>36</v>
      </c>
      <c r="C360" s="19" t="s">
        <v>445</v>
      </c>
      <c r="D360" s="10" t="s">
        <v>446</v>
      </c>
      <c r="E360" s="10" t="s">
        <v>16</v>
      </c>
      <c r="F360" s="11">
        <v>0</v>
      </c>
      <c r="G360" s="11">
        <v>1593.7500</v>
      </c>
      <c r="H360" s="11">
        <v>0</v>
      </c>
      <c r="I360" s="11">
        <v>1593.7500</v>
      </c>
      <c r="J360" s="10" t="s">
        <v>40</v>
      </c>
    </row>
    <row r="361" ht="21.3" customHeight="true" customFormat="true" s="8">
      <c r="A361" s="12">
        <v>44726</v>
      </c>
      <c r="B361" s="13" t="s">
        <v>36</v>
      </c>
      <c r="C361" s="18" t="s">
        <v>447</v>
      </c>
      <c r="D361" s="13" t="s">
        <v>446</v>
      </c>
      <c r="E361" s="13" t="s">
        <v>16</v>
      </c>
      <c r="F361" s="14">
        <v>0</v>
      </c>
      <c r="G361" s="14">
        <v>100.0000</v>
      </c>
      <c r="H361" s="14">
        <v>0</v>
      </c>
      <c r="I361" s="14">
        <v>100.0000</v>
      </c>
      <c r="J361" s="13" t="s">
        <v>40</v>
      </c>
    </row>
    <row r="362" ht="31.65" customHeight="true" customFormat="true" s="8">
      <c r="A362" s="12">
        <v>44726</v>
      </c>
      <c r="B362" s="13" t="s">
        <v>36</v>
      </c>
      <c r="C362" s="18" t="s">
        <v>448</v>
      </c>
      <c r="D362" s="13" t="s">
        <v>446</v>
      </c>
      <c r="E362" s="13" t="s">
        <v>16</v>
      </c>
      <c r="F362" s="14">
        <v>0</v>
      </c>
      <c r="G362" s="14">
        <v>202.0000</v>
      </c>
      <c r="H362" s="14">
        <v>0</v>
      </c>
      <c r="I362" s="14">
        <v>202.0000</v>
      </c>
      <c r="J362" s="13" t="s">
        <v>31</v>
      </c>
    </row>
    <row r="363" ht="31.65" customHeight="true" customFormat="true" s="8">
      <c r="A363" s="12">
        <v>44726</v>
      </c>
      <c r="B363" s="13" t="s">
        <v>36</v>
      </c>
      <c r="C363" s="18" t="s">
        <v>449</v>
      </c>
      <c r="D363" s="13" t="s">
        <v>446</v>
      </c>
      <c r="E363" s="13" t="s">
        <v>16</v>
      </c>
      <c r="F363" s="14">
        <v>0</v>
      </c>
      <c r="G363" s="14">
        <v>3800.0000</v>
      </c>
      <c r="H363" s="14">
        <v>0</v>
      </c>
      <c r="I363" s="14">
        <v>3800.0000</v>
      </c>
      <c r="J363" s="13" t="s">
        <v>31</v>
      </c>
    </row>
    <row r="364" ht="10.95" customHeight="true" customFormat="true" s="8">
      <c r="A364" s="12">
        <v>44726</v>
      </c>
      <c r="B364" s="13" t="s">
        <v>36</v>
      </c>
      <c r="C364" s="13" t="s">
        <v>450</v>
      </c>
      <c r="D364" s="13" t="s">
        <v>446</v>
      </c>
      <c r="E364" s="13" t="s">
        <v>16</v>
      </c>
      <c r="F364" s="14">
        <v>0</v>
      </c>
      <c r="G364" s="14">
        <v>1160.0000</v>
      </c>
      <c r="H364" s="14">
        <v>0</v>
      </c>
      <c r="I364" s="14">
        <v>1160.0000</v>
      </c>
      <c r="J364" s="13" t="s">
        <v>40</v>
      </c>
    </row>
    <row r="365" ht="10.95" customHeight="true" customFormat="true" s="8">
      <c r="A365" s="12">
        <v>44774</v>
      </c>
      <c r="B365" s="13" t="s">
        <v>36</v>
      </c>
      <c r="C365" s="13" t="s">
        <v>451</v>
      </c>
      <c r="D365" s="13" t="s">
        <v>452</v>
      </c>
      <c r="E365" s="13" t="s">
        <v>16</v>
      </c>
      <c r="F365" s="14">
        <v>0</v>
      </c>
      <c r="G365" s="14">
        <v>8333.3300</v>
      </c>
      <c r="H365" s="14">
        <v>0</v>
      </c>
      <c r="I365" s="14">
        <v>8333.3300</v>
      </c>
      <c r="J365" s="13" t="s">
        <v>40</v>
      </c>
    </row>
    <row r="366" ht="10.95" customHeight="true" customFormat="true" s="8">
      <c r="A366" s="12">
        <v>44844</v>
      </c>
      <c r="B366" s="13" t="s">
        <v>36</v>
      </c>
      <c r="C366" s="13" t="s">
        <v>453</v>
      </c>
      <c r="D366" s="13" t="s">
        <v>71</v>
      </c>
      <c r="E366" s="13" t="s">
        <v>16</v>
      </c>
      <c r="F366" s="14">
        <v>0</v>
      </c>
      <c r="G366" s="14">
        <v>249.2800</v>
      </c>
      <c r="H366" s="14">
        <v>0</v>
      </c>
      <c r="I366" s="14">
        <v>249.2800</v>
      </c>
      <c r="J366" s="13" t="s">
        <v>17</v>
      </c>
    </row>
    <row r="367" ht="10.95" customHeight="true" customFormat="true" s="8">
      <c r="A367" s="12">
        <v>44844</v>
      </c>
      <c r="B367" s="13" t="s">
        <v>36</v>
      </c>
      <c r="C367" s="13" t="s">
        <v>454</v>
      </c>
      <c r="D367" s="13" t="s">
        <v>71</v>
      </c>
      <c r="E367" s="13" t="s">
        <v>16</v>
      </c>
      <c r="F367" s="14">
        <v>0</v>
      </c>
      <c r="G367" s="14">
        <v>76.6500</v>
      </c>
      <c r="H367" s="14">
        <v>0</v>
      </c>
      <c r="I367" s="14">
        <v>76.6500</v>
      </c>
      <c r="J367" s="13" t="s">
        <v>17</v>
      </c>
    </row>
    <row r="368" ht="10.95" customHeight="true" customFormat="true" s="8">
      <c r="A368" s="12">
        <v>44844</v>
      </c>
      <c r="B368" s="13" t="s">
        <v>36</v>
      </c>
      <c r="C368" s="13" t="s">
        <v>455</v>
      </c>
      <c r="D368" s="13" t="s">
        <v>71</v>
      </c>
      <c r="E368" s="13" t="s">
        <v>16</v>
      </c>
      <c r="F368" s="14">
        <v>0</v>
      </c>
      <c r="G368" s="14">
        <v>1718.1800</v>
      </c>
      <c r="H368" s="14">
        <v>0</v>
      </c>
      <c r="I368" s="14">
        <v>1718.1800</v>
      </c>
      <c r="J368" s="13" t="s">
        <v>17</v>
      </c>
    </row>
    <row r="369" ht="10.95" customHeight="true" customFormat="true" s="8">
      <c r="A369" s="12">
        <v>44844</v>
      </c>
      <c r="B369" s="13" t="s">
        <v>36</v>
      </c>
      <c r="C369" s="13" t="s">
        <v>456</v>
      </c>
      <c r="D369" s="13" t="s">
        <v>71</v>
      </c>
      <c r="E369" s="13" t="s">
        <v>16</v>
      </c>
      <c r="F369" s="14">
        <v>0</v>
      </c>
      <c r="G369" s="14">
        <v>63.8500</v>
      </c>
      <c r="H369" s="14">
        <v>0</v>
      </c>
      <c r="I369" s="14">
        <v>63.8500</v>
      </c>
      <c r="J369" s="13" t="s">
        <v>17</v>
      </c>
    </row>
    <row r="370" ht="10.95" customHeight="true" customFormat="true" s="8">
      <c r="A370" s="12">
        <v>44971</v>
      </c>
      <c r="B370" s="13" t="s">
        <v>36</v>
      </c>
      <c r="C370" s="13" t="s">
        <v>457</v>
      </c>
      <c r="D370" s="13" t="s">
        <v>458</v>
      </c>
      <c r="E370" s="13" t="s">
        <v>16</v>
      </c>
      <c r="F370" s="14">
        <v>0</v>
      </c>
      <c r="G370" s="14">
        <v>66.7300</v>
      </c>
      <c r="H370" s="14">
        <v>0</v>
      </c>
      <c r="I370" s="14">
        <v>66.7300</v>
      </c>
      <c r="J370" s="13" t="s">
        <v>17</v>
      </c>
    </row>
    <row r="371" ht="10.95" customHeight="true" customFormat="true" s="8">
      <c r="A371" s="12">
        <v>44971</v>
      </c>
      <c r="B371" s="13" t="s">
        <v>36</v>
      </c>
      <c r="C371" s="13" t="s">
        <v>459</v>
      </c>
      <c r="D371" s="13" t="s">
        <v>458</v>
      </c>
      <c r="E371" s="13" t="s">
        <v>16</v>
      </c>
      <c r="F371" s="14">
        <v>0</v>
      </c>
      <c r="G371" s="14">
        <v>647.0600</v>
      </c>
      <c r="H371" s="14">
        <v>0</v>
      </c>
      <c r="I371" s="14">
        <v>647.0600</v>
      </c>
      <c r="J371" s="13" t="s">
        <v>17</v>
      </c>
    </row>
    <row r="372" ht="10.95" customHeight="true" customFormat="true" s="8">
      <c r="A372" s="12">
        <v>44971</v>
      </c>
      <c r="B372" s="13" t="s">
        <v>36</v>
      </c>
      <c r="C372" s="13" t="s">
        <v>460</v>
      </c>
      <c r="D372" s="13" t="s">
        <v>458</v>
      </c>
      <c r="E372" s="13" t="s">
        <v>16</v>
      </c>
      <c r="F372" s="14">
        <v>0</v>
      </c>
      <c r="G372" s="14">
        <v>321.2000</v>
      </c>
      <c r="H372" s="14">
        <v>0</v>
      </c>
      <c r="I372" s="14">
        <v>321.2000</v>
      </c>
      <c r="J372" s="13" t="s">
        <v>17</v>
      </c>
    </row>
    <row r="373" ht="10.95" customHeight="true" customFormat="true" s="8">
      <c r="A373" s="12">
        <v>45018</v>
      </c>
      <c r="B373" s="13" t="s">
        <v>36</v>
      </c>
      <c r="C373" s="13" t="s">
        <v>461</v>
      </c>
      <c r="D373" s="13" t="s">
        <v>462</v>
      </c>
      <c r="E373" s="13" t="s">
        <v>16</v>
      </c>
      <c r="F373" s="14">
        <v>0</v>
      </c>
      <c r="G373" s="14">
        <v>4166.6700</v>
      </c>
      <c r="H373" s="14">
        <v>0</v>
      </c>
      <c r="I373" s="14">
        <v>4166.6700</v>
      </c>
      <c r="J373" s="13" t="s">
        <v>40</v>
      </c>
    </row>
    <row r="374" ht="10.95" customHeight="true" customFormat="true" s="8">
      <c r="A374" s="12">
        <v>45064</v>
      </c>
      <c r="B374" s="13" t="s">
        <v>36</v>
      </c>
      <c r="C374" s="13" t="s">
        <v>463</v>
      </c>
      <c r="D374" s="13" t="s">
        <v>464</v>
      </c>
      <c r="E374" s="13" t="s">
        <v>16</v>
      </c>
      <c r="F374" s="14">
        <v>0</v>
      </c>
      <c r="G374" s="14">
        <v>4166.6700</v>
      </c>
      <c r="H374" s="14">
        <v>0</v>
      </c>
      <c r="I374" s="14">
        <v>4166.6700</v>
      </c>
      <c r="J374" s="13" t="s">
        <v>40</v>
      </c>
    </row>
    <row r="375" ht="10.95" customHeight="true" customFormat="true" s="8">
      <c r="A375" s="12">
        <v>45077</v>
      </c>
      <c r="B375" s="13" t="s">
        <v>36</v>
      </c>
      <c r="C375" s="13" t="s">
        <v>465</v>
      </c>
      <c r="D375" s="13" t="s">
        <v>466</v>
      </c>
      <c r="E375" s="13" t="s">
        <v>16</v>
      </c>
      <c r="F375" s="14">
        <v>0</v>
      </c>
      <c r="G375" s="14">
        <v>58.5400</v>
      </c>
      <c r="H375" s="14">
        <v>0</v>
      </c>
      <c r="I375" s="14">
        <v>58.5400</v>
      </c>
      <c r="J375" s="13" t="s">
        <v>17</v>
      </c>
    </row>
    <row r="376" ht="10.95" customHeight="true" customFormat="true" s="8">
      <c r="A376" s="12">
        <v>45187</v>
      </c>
      <c r="B376" s="13" t="s">
        <v>36</v>
      </c>
      <c r="C376" s="13" t="s">
        <v>467</v>
      </c>
      <c r="D376" s="13" t="s">
        <v>468</v>
      </c>
      <c r="E376" s="13" t="s">
        <v>16</v>
      </c>
      <c r="F376" s="14">
        <v>0</v>
      </c>
      <c r="G376" s="14">
        <v>12.9100</v>
      </c>
      <c r="H376" s="14">
        <v>0</v>
      </c>
      <c r="I376" s="14">
        <v>12.9100</v>
      </c>
      <c r="J376" s="13" t="s">
        <v>17</v>
      </c>
    </row>
    <row r="377" ht="10.95" customHeight="true" customFormat="true" s="8">
      <c r="A377" s="12">
        <v>45187</v>
      </c>
      <c r="B377" s="13" t="s">
        <v>36</v>
      </c>
      <c r="C377" s="13" t="s">
        <v>469</v>
      </c>
      <c r="D377" s="13" t="s">
        <v>468</v>
      </c>
      <c r="E377" s="13" t="s">
        <v>16</v>
      </c>
      <c r="F377" s="14">
        <v>0</v>
      </c>
      <c r="G377" s="14">
        <v>77.4400</v>
      </c>
      <c r="H377" s="14">
        <v>0</v>
      </c>
      <c r="I377" s="14">
        <v>77.4400</v>
      </c>
      <c r="J377" s="13" t="s">
        <v>17</v>
      </c>
    </row>
    <row r="378" ht="21.3" customHeight="true" customFormat="true" s="8">
      <c r="A378" s="12">
        <v>45187</v>
      </c>
      <c r="B378" s="13" t="s">
        <v>36</v>
      </c>
      <c r="C378" s="18" t="s">
        <v>470</v>
      </c>
      <c r="D378" s="13" t="s">
        <v>468</v>
      </c>
      <c r="E378" s="13" t="s">
        <v>16</v>
      </c>
      <c r="F378" s="14">
        <v>0</v>
      </c>
      <c r="G378" s="14">
        <v>39.7300</v>
      </c>
      <c r="H378" s="14">
        <v>0</v>
      </c>
      <c r="I378" s="14">
        <v>39.7300</v>
      </c>
      <c r="J378" s="13" t="s">
        <v>17</v>
      </c>
    </row>
    <row r="379" ht="31.65" customHeight="true" customFormat="true" s="8">
      <c r="A379" s="12">
        <v>45223</v>
      </c>
      <c r="B379" s="13" t="s">
        <v>36</v>
      </c>
      <c r="C379" s="18" t="s">
        <v>471</v>
      </c>
      <c r="D379" s="13" t="s">
        <v>472</v>
      </c>
      <c r="E379" s="13" t="s">
        <v>16</v>
      </c>
      <c r="F379" s="14">
        <v>0</v>
      </c>
      <c r="G379" s="14">
        <v>5293.1500</v>
      </c>
      <c r="H379" s="14">
        <v>0</v>
      </c>
      <c r="I379" s="14">
        <v>5293.1500</v>
      </c>
      <c r="J379" s="13" t="s">
        <v>40</v>
      </c>
    </row>
    <row r="380" ht="10.95" customHeight="true" customFormat="true" s="8">
      <c r="A380" s="12">
        <v>45237</v>
      </c>
      <c r="B380" s="13" t="s">
        <v>36</v>
      </c>
      <c r="C380" s="13" t="s">
        <v>473</v>
      </c>
      <c r="D380" s="13" t="s">
        <v>474</v>
      </c>
      <c r="E380" s="13" t="s">
        <v>16</v>
      </c>
      <c r="F380" s="14">
        <v>0</v>
      </c>
      <c r="G380" s="14">
        <v>833.3300</v>
      </c>
      <c r="H380" s="14">
        <v>0</v>
      </c>
      <c r="I380" s="14">
        <v>833.3300</v>
      </c>
      <c r="J380" s="13" t="s">
        <v>40</v>
      </c>
    </row>
    <row r="381" ht="10.95" customHeight="true" customFormat="true" s="8">
      <c r="A381" s="12">
        <v>45261</v>
      </c>
      <c r="B381" s="13" t="s">
        <v>36</v>
      </c>
      <c r="C381" s="13" t="s">
        <v>475</v>
      </c>
      <c r="D381" s="13" t="s">
        <v>476</v>
      </c>
      <c r="E381" s="13" t="s">
        <v>16</v>
      </c>
      <c r="F381" s="14">
        <v>0</v>
      </c>
      <c r="G381" s="14">
        <v>251.9800</v>
      </c>
      <c r="H381" s="14">
        <v>0</v>
      </c>
      <c r="I381" s="14">
        <v>251.9800</v>
      </c>
      <c r="J381" s="13" t="s">
        <v>17</v>
      </c>
    </row>
    <row r="382" ht="10.95" customHeight="true" customFormat="true" s="8">
      <c r="A382" s="12">
        <v>45261</v>
      </c>
      <c r="B382" s="13" t="s">
        <v>36</v>
      </c>
      <c r="C382" s="13" t="s">
        <v>477</v>
      </c>
      <c r="D382" s="13" t="s">
        <v>476</v>
      </c>
      <c r="E382" s="13" t="s">
        <v>16</v>
      </c>
      <c r="F382" s="14">
        <v>0</v>
      </c>
      <c r="G382" s="14">
        <v>83.8400</v>
      </c>
      <c r="H382" s="14">
        <v>0</v>
      </c>
      <c r="I382" s="14">
        <v>83.8400</v>
      </c>
      <c r="J382" s="13" t="s">
        <v>17</v>
      </c>
    </row>
    <row r="383" ht="10.95" customHeight="true" customFormat="true" s="8">
      <c r="A383" s="12">
        <v>45261</v>
      </c>
      <c r="B383" s="13" t="s">
        <v>36</v>
      </c>
      <c r="C383" s="13" t="s">
        <v>478</v>
      </c>
      <c r="D383" s="13" t="s">
        <v>476</v>
      </c>
      <c r="E383" s="13" t="s">
        <v>16</v>
      </c>
      <c r="F383" s="14">
        <v>0</v>
      </c>
      <c r="G383" s="14">
        <v>342.0600</v>
      </c>
      <c r="H383" s="14">
        <v>0</v>
      </c>
      <c r="I383" s="14">
        <v>342.0600</v>
      </c>
      <c r="J383" s="13" t="s">
        <v>17</v>
      </c>
    </row>
    <row r="384" ht="10.95" customHeight="true" customFormat="true" s="8">
      <c r="A384" s="12">
        <v>45280</v>
      </c>
      <c r="B384" s="13" t="s">
        <v>36</v>
      </c>
      <c r="C384" s="13" t="s">
        <v>479</v>
      </c>
      <c r="D384" s="13" t="s">
        <v>480</v>
      </c>
      <c r="E384" s="13" t="s">
        <v>16</v>
      </c>
      <c r="F384" s="14">
        <v>0</v>
      </c>
      <c r="G384" s="14">
        <v>1666.6700</v>
      </c>
      <c r="H384" s="14">
        <v>0</v>
      </c>
      <c r="I384" s="14">
        <v>1666.6700</v>
      </c>
      <c r="J384" s="13" t="s">
        <v>17</v>
      </c>
    </row>
    <row r="385" ht="10.95" customHeight="true" customFormat="true" s="8">
      <c r="A385" s="15" t="s">
        <v>481</v>
      </c>
      <c r="B385" s="15"/>
      <c r="C385" s="15"/>
      <c r="D385" s="15"/>
      <c r="E385" s="15"/>
      <c r="F385" s="16">
        <f ca="1">SUM(F360:F384)</f>
        <v>0</v>
      </c>
      <c r="G385" s="16">
        <f ca="1">SUM(G360:G384)</f>
        <v>0</v>
      </c>
      <c r="H385" s="16">
        <f ca="1">SUM(H360:H384)</f>
        <v>0</v>
      </c>
      <c r="I385" s="16">
        <f ca="1">SUM(I360:I384)</f>
        <v>0</v>
      </c>
      <c r="J385" s="15"/>
    </row>
    <row r="386" ht="13.35" customHeight="true"/>
    <row r="387" ht="12.1" customHeight="true" customFormat="true" s="5">
      <c r="A387" s="17" t="s">
        <v>482</v>
      </c>
      <c r="B387" s="17"/>
      <c r="C387" s="17"/>
      <c r="D387" s="17"/>
      <c r="E387" s="17"/>
      <c r="F387" s="17"/>
      <c r="G387" s="17"/>
      <c r="H387" s="17"/>
      <c r="I387" s="17"/>
      <c r="J387" s="17"/>
    </row>
    <row r="388" ht="10.95" customHeight="true" customFormat="true" s="8">
      <c r="A388" s="9">
        <v>44581</v>
      </c>
      <c r="B388" s="10" t="s">
        <v>36</v>
      </c>
      <c r="C388" s="10" t="s">
        <v>483</v>
      </c>
      <c r="D388" s="10" t="s">
        <v>484</v>
      </c>
      <c r="E388" s="10" t="s">
        <v>16</v>
      </c>
      <c r="F388" s="11">
        <v>0</v>
      </c>
      <c r="G388" s="11">
        <v>825.0000</v>
      </c>
      <c r="H388" s="11">
        <v>0</v>
      </c>
      <c r="I388" s="11">
        <v>825.0000</v>
      </c>
      <c r="J388" s="10" t="s">
        <v>17</v>
      </c>
    </row>
    <row r="389" ht="10.95" customHeight="true" customFormat="true" s="8">
      <c r="A389" s="12">
        <v>44581</v>
      </c>
      <c r="B389" s="13" t="s">
        <v>153</v>
      </c>
      <c r="C389" s="13" t="s">
        <v>485</v>
      </c>
      <c r="D389" s="13" t="s">
        <v>486</v>
      </c>
      <c r="E389" s="13" t="s">
        <v>16</v>
      </c>
      <c r="F389" s="14">
        <v>0</v>
      </c>
      <c r="G389" s="14">
        <v>11.5500</v>
      </c>
      <c r="H389" s="14">
        <v>0</v>
      </c>
      <c r="I389" s="14">
        <v>11.5500</v>
      </c>
      <c r="J389" s="13" t="s">
        <v>56</v>
      </c>
    </row>
    <row r="390" ht="10.95" customHeight="true" customFormat="true" s="8">
      <c r="A390" s="15" t="s">
        <v>487</v>
      </c>
      <c r="B390" s="15"/>
      <c r="C390" s="15"/>
      <c r="D390" s="15"/>
      <c r="E390" s="15"/>
      <c r="F390" s="16">
        <f ca="1">SUM(F388:F389)</f>
        <v>0</v>
      </c>
      <c r="G390" s="16">
        <f ca="1">SUM(G388:G389)</f>
        <v>0</v>
      </c>
      <c r="H390" s="16">
        <f ca="1">SUM(H388:H389)</f>
        <v>0</v>
      </c>
      <c r="I390" s="16">
        <f ca="1">SUM(I388:I389)</f>
        <v>0</v>
      </c>
      <c r="J390" s="15"/>
    </row>
    <row r="391" ht="13.35" customHeight="true"/>
    <row r="392" ht="12.1" customHeight="true" customFormat="true" s="5">
      <c r="A392" s="17" t="s">
        <v>488</v>
      </c>
      <c r="B392" s="17"/>
      <c r="C392" s="17"/>
      <c r="D392" s="17"/>
      <c r="E392" s="17"/>
      <c r="F392" s="17"/>
      <c r="G392" s="17"/>
      <c r="H392" s="17"/>
      <c r="I392" s="17"/>
      <c r="J392" s="17"/>
    </row>
    <row r="393" ht="21.3" customHeight="true" customFormat="true" s="8">
      <c r="A393" s="9">
        <v>44760</v>
      </c>
      <c r="B393" s="10" t="s">
        <v>36</v>
      </c>
      <c r="C393" s="19" t="s">
        <v>489</v>
      </c>
      <c r="D393" s="10" t="s">
        <v>490</v>
      </c>
      <c r="E393" s="10" t="s">
        <v>16</v>
      </c>
      <c r="F393" s="11">
        <v>0</v>
      </c>
      <c r="G393" s="11">
        <v>1113.7500</v>
      </c>
      <c r="H393" s="11">
        <v>0</v>
      </c>
      <c r="I393" s="11">
        <v>1113.7500</v>
      </c>
      <c r="J393" s="10" t="s">
        <v>40</v>
      </c>
    </row>
    <row r="394" ht="21.3" customHeight="true" customFormat="true" s="8">
      <c r="A394" s="12">
        <v>44760</v>
      </c>
      <c r="B394" s="13" t="s">
        <v>36</v>
      </c>
      <c r="C394" s="18" t="s">
        <v>491</v>
      </c>
      <c r="D394" s="13" t="s">
        <v>490</v>
      </c>
      <c r="E394" s="13" t="s">
        <v>16</v>
      </c>
      <c r="F394" s="14">
        <v>0</v>
      </c>
      <c r="G394" s="14">
        <v>1134.0000</v>
      </c>
      <c r="H394" s="14">
        <v>0</v>
      </c>
      <c r="I394" s="14">
        <v>1134.0000</v>
      </c>
      <c r="J394" s="13" t="s">
        <v>40</v>
      </c>
    </row>
    <row r="395" ht="31.65" customHeight="true" customFormat="true" s="8">
      <c r="A395" s="12">
        <v>44760</v>
      </c>
      <c r="B395" s="13" t="s">
        <v>36</v>
      </c>
      <c r="C395" s="18" t="s">
        <v>492</v>
      </c>
      <c r="D395" s="13" t="s">
        <v>490</v>
      </c>
      <c r="E395" s="13" t="s">
        <v>16</v>
      </c>
      <c r="F395" s="14">
        <v>0</v>
      </c>
      <c r="G395" s="14">
        <v>2424.0000</v>
      </c>
      <c r="H395" s="14">
        <v>0</v>
      </c>
      <c r="I395" s="14">
        <v>2424.0000</v>
      </c>
      <c r="J395" s="13" t="s">
        <v>31</v>
      </c>
    </row>
    <row r="396" ht="31.65" customHeight="true" customFormat="true" s="8">
      <c r="A396" s="12">
        <v>44760</v>
      </c>
      <c r="B396" s="13" t="s">
        <v>36</v>
      </c>
      <c r="C396" s="18" t="s">
        <v>493</v>
      </c>
      <c r="D396" s="13" t="s">
        <v>490</v>
      </c>
      <c r="E396" s="13" t="s">
        <v>16</v>
      </c>
      <c r="F396" s="14">
        <v>0</v>
      </c>
      <c r="G396" s="14">
        <v>5700.0000</v>
      </c>
      <c r="H396" s="14">
        <v>0</v>
      </c>
      <c r="I396" s="14">
        <v>5700.0000</v>
      </c>
      <c r="J396" s="13" t="s">
        <v>40</v>
      </c>
    </row>
    <row r="397" ht="31.65" customHeight="true" customFormat="true" s="8">
      <c r="A397" s="12">
        <v>44760</v>
      </c>
      <c r="B397" s="13" t="s">
        <v>36</v>
      </c>
      <c r="C397" s="18" t="s">
        <v>494</v>
      </c>
      <c r="D397" s="13" t="s">
        <v>490</v>
      </c>
      <c r="E397" s="13" t="s">
        <v>16</v>
      </c>
      <c r="F397" s="14">
        <v>0</v>
      </c>
      <c r="G397" s="14">
        <v>90.0000</v>
      </c>
      <c r="H397" s="14">
        <v>0</v>
      </c>
      <c r="I397" s="14">
        <v>90.0000</v>
      </c>
      <c r="J397" s="13" t="s">
        <v>40</v>
      </c>
    </row>
    <row r="398" ht="31.65" customHeight="true" customFormat="true" s="8">
      <c r="A398" s="12">
        <v>44760</v>
      </c>
      <c r="B398" s="13" t="s">
        <v>36</v>
      </c>
      <c r="C398" s="18" t="s">
        <v>495</v>
      </c>
      <c r="D398" s="13" t="s">
        <v>490</v>
      </c>
      <c r="E398" s="13" t="s">
        <v>16</v>
      </c>
      <c r="F398" s="14">
        <v>0</v>
      </c>
      <c r="G398" s="14">
        <v>187.5000</v>
      </c>
      <c r="H398" s="14">
        <v>0</v>
      </c>
      <c r="I398" s="14">
        <v>187.5000</v>
      </c>
      <c r="J398" s="13" t="s">
        <v>40</v>
      </c>
    </row>
    <row r="399" ht="31.65" customHeight="true" customFormat="true" s="8">
      <c r="A399" s="12">
        <v>44760</v>
      </c>
      <c r="B399" s="13" t="s">
        <v>36</v>
      </c>
      <c r="C399" s="18" t="s">
        <v>496</v>
      </c>
      <c r="D399" s="13" t="s">
        <v>490</v>
      </c>
      <c r="E399" s="13" t="s">
        <v>16</v>
      </c>
      <c r="F399" s="14">
        <v>0</v>
      </c>
      <c r="G399" s="14">
        <v>840.0000</v>
      </c>
      <c r="H399" s="14">
        <v>0</v>
      </c>
      <c r="I399" s="14">
        <v>840.0000</v>
      </c>
      <c r="J399" s="13" t="s">
        <v>40</v>
      </c>
    </row>
    <row r="400" ht="21.3" customHeight="true" customFormat="true" s="8">
      <c r="A400" s="12">
        <v>44760</v>
      </c>
      <c r="B400" s="13" t="s">
        <v>36</v>
      </c>
      <c r="C400" s="18" t="s">
        <v>497</v>
      </c>
      <c r="D400" s="13" t="s">
        <v>490</v>
      </c>
      <c r="E400" s="13" t="s">
        <v>16</v>
      </c>
      <c r="F400" s="14">
        <v>0</v>
      </c>
      <c r="G400" s="14">
        <v>120.0000</v>
      </c>
      <c r="H400" s="14">
        <v>0</v>
      </c>
      <c r="I400" s="14">
        <v>120.0000</v>
      </c>
      <c r="J400" s="13" t="s">
        <v>40</v>
      </c>
    </row>
    <row r="401" ht="21.3" customHeight="true" customFormat="true" s="8">
      <c r="A401" s="12">
        <v>44760</v>
      </c>
      <c r="B401" s="13" t="s">
        <v>36</v>
      </c>
      <c r="C401" s="18" t="s">
        <v>498</v>
      </c>
      <c r="D401" s="13" t="s">
        <v>490</v>
      </c>
      <c r="E401" s="13" t="s">
        <v>16</v>
      </c>
      <c r="F401" s="14">
        <v>0</v>
      </c>
      <c r="G401" s="14">
        <v>294.0000</v>
      </c>
      <c r="H401" s="14">
        <v>0</v>
      </c>
      <c r="I401" s="14">
        <v>294.0000</v>
      </c>
      <c r="J401" s="13" t="s">
        <v>40</v>
      </c>
    </row>
    <row r="402" ht="21.3" customHeight="true" customFormat="true" s="8">
      <c r="A402" s="12">
        <v>44760</v>
      </c>
      <c r="B402" s="13" t="s">
        <v>36</v>
      </c>
      <c r="C402" s="18" t="s">
        <v>499</v>
      </c>
      <c r="D402" s="13" t="s">
        <v>490</v>
      </c>
      <c r="E402" s="13" t="s">
        <v>16</v>
      </c>
      <c r="F402" s="14">
        <v>0</v>
      </c>
      <c r="G402" s="14">
        <v>337.5000</v>
      </c>
      <c r="H402" s="14">
        <v>0</v>
      </c>
      <c r="I402" s="14">
        <v>337.5000</v>
      </c>
      <c r="J402" s="13" t="s">
        <v>40</v>
      </c>
    </row>
    <row r="403" ht="52.35" customHeight="true" customFormat="true" s="8">
      <c r="A403" s="12">
        <v>44809</v>
      </c>
      <c r="B403" s="13" t="s">
        <v>36</v>
      </c>
      <c r="C403" s="18" t="s">
        <v>500</v>
      </c>
      <c r="D403" s="13" t="s">
        <v>501</v>
      </c>
      <c r="E403" s="13" t="s">
        <v>16</v>
      </c>
      <c r="F403" s="14">
        <v>0</v>
      </c>
      <c r="G403" s="14">
        <v>833.3300</v>
      </c>
      <c r="H403" s="14">
        <v>0</v>
      </c>
      <c r="I403" s="14">
        <v>833.3300</v>
      </c>
      <c r="J403" s="13" t="s">
        <v>40</v>
      </c>
    </row>
    <row r="404" ht="10.95" customHeight="true" customFormat="true" s="8">
      <c r="A404" s="12">
        <v>44809</v>
      </c>
      <c r="B404" s="13" t="s">
        <v>36</v>
      </c>
      <c r="C404" s="13" t="s">
        <v>502</v>
      </c>
      <c r="D404" s="13" t="s">
        <v>501</v>
      </c>
      <c r="E404" s="13" t="s">
        <v>16</v>
      </c>
      <c r="F404" s="14">
        <v>0</v>
      </c>
      <c r="G404" s="14">
        <v>41.6700</v>
      </c>
      <c r="H404" s="14">
        <v>0</v>
      </c>
      <c r="I404" s="14">
        <v>41.6700</v>
      </c>
      <c r="J404" s="13" t="s">
        <v>40</v>
      </c>
    </row>
    <row r="405" ht="21.3" customHeight="true" customFormat="true" s="8">
      <c r="A405" s="12">
        <v>44872</v>
      </c>
      <c r="B405" s="13" t="s">
        <v>36</v>
      </c>
      <c r="C405" s="18" t="s">
        <v>503</v>
      </c>
      <c r="D405" s="13" t="s">
        <v>504</v>
      </c>
      <c r="E405" s="13" t="s">
        <v>16</v>
      </c>
      <c r="F405" s="14">
        <v>0</v>
      </c>
      <c r="G405" s="14">
        <v>93.7500</v>
      </c>
      <c r="H405" s="14">
        <v>0</v>
      </c>
      <c r="I405" s="14">
        <v>93.7500</v>
      </c>
      <c r="J405" s="13" t="s">
        <v>40</v>
      </c>
    </row>
    <row r="406" ht="21.3" customHeight="true" customFormat="true" s="8">
      <c r="A406" s="12">
        <v>44872</v>
      </c>
      <c r="B406" s="13" t="s">
        <v>36</v>
      </c>
      <c r="C406" s="18" t="s">
        <v>505</v>
      </c>
      <c r="D406" s="13" t="s">
        <v>504</v>
      </c>
      <c r="E406" s="13" t="s">
        <v>16</v>
      </c>
      <c r="F406" s="14">
        <v>0</v>
      </c>
      <c r="G406" s="14">
        <v>70.0000</v>
      </c>
      <c r="H406" s="14">
        <v>0</v>
      </c>
      <c r="I406" s="14">
        <v>70.0000</v>
      </c>
      <c r="J406" s="13" t="s">
        <v>40</v>
      </c>
    </row>
    <row r="407" ht="21.3" customHeight="true" customFormat="true" s="8">
      <c r="A407" s="12">
        <v>44872</v>
      </c>
      <c r="B407" s="13" t="s">
        <v>36</v>
      </c>
      <c r="C407" s="18" t="s">
        <v>503</v>
      </c>
      <c r="D407" s="13" t="s">
        <v>504</v>
      </c>
      <c r="E407" s="13" t="s">
        <v>16</v>
      </c>
      <c r="F407" s="14">
        <v>0</v>
      </c>
      <c r="G407" s="14">
        <v>93.7500</v>
      </c>
      <c r="H407" s="14">
        <v>0</v>
      </c>
      <c r="I407" s="14">
        <v>93.7500</v>
      </c>
      <c r="J407" s="13" t="s">
        <v>40</v>
      </c>
    </row>
    <row r="408" ht="21.3" customHeight="true" customFormat="true" s="8">
      <c r="A408" s="12">
        <v>44872</v>
      </c>
      <c r="B408" s="13" t="s">
        <v>36</v>
      </c>
      <c r="C408" s="18" t="s">
        <v>505</v>
      </c>
      <c r="D408" s="13" t="s">
        <v>504</v>
      </c>
      <c r="E408" s="13" t="s">
        <v>16</v>
      </c>
      <c r="F408" s="14">
        <v>0</v>
      </c>
      <c r="G408" s="14">
        <v>70.0000</v>
      </c>
      <c r="H408" s="14">
        <v>0</v>
      </c>
      <c r="I408" s="14">
        <v>70.0000</v>
      </c>
      <c r="J408" s="13" t="s">
        <v>40</v>
      </c>
    </row>
    <row r="409" ht="21.3" customHeight="true" customFormat="true" s="8">
      <c r="A409" s="12">
        <v>44872</v>
      </c>
      <c r="B409" s="13" t="s">
        <v>36</v>
      </c>
      <c r="C409" s="18" t="s">
        <v>503</v>
      </c>
      <c r="D409" s="13" t="s">
        <v>504</v>
      </c>
      <c r="E409" s="13" t="s">
        <v>16</v>
      </c>
      <c r="F409" s="14">
        <v>0</v>
      </c>
      <c r="G409" s="14">
        <v>93.7500</v>
      </c>
      <c r="H409" s="14">
        <v>0</v>
      </c>
      <c r="I409" s="14">
        <v>93.7500</v>
      </c>
      <c r="J409" s="13" t="s">
        <v>40</v>
      </c>
    </row>
    <row r="410" ht="21.3" customHeight="true" customFormat="true" s="8">
      <c r="A410" s="12">
        <v>44872</v>
      </c>
      <c r="B410" s="13" t="s">
        <v>36</v>
      </c>
      <c r="C410" s="18" t="s">
        <v>505</v>
      </c>
      <c r="D410" s="13" t="s">
        <v>504</v>
      </c>
      <c r="E410" s="13" t="s">
        <v>16</v>
      </c>
      <c r="F410" s="14">
        <v>0</v>
      </c>
      <c r="G410" s="14">
        <v>70.0000</v>
      </c>
      <c r="H410" s="14">
        <v>0</v>
      </c>
      <c r="I410" s="14">
        <v>70.0000</v>
      </c>
      <c r="J410" s="13" t="s">
        <v>40</v>
      </c>
    </row>
    <row r="411" ht="21.3" customHeight="true" customFormat="true" s="8">
      <c r="A411" s="12">
        <v>44872</v>
      </c>
      <c r="B411" s="13" t="s">
        <v>36</v>
      </c>
      <c r="C411" s="18" t="s">
        <v>489</v>
      </c>
      <c r="D411" s="13" t="s">
        <v>504</v>
      </c>
      <c r="E411" s="13" t="s">
        <v>16</v>
      </c>
      <c r="F411" s="14">
        <v>0</v>
      </c>
      <c r="G411" s="14">
        <v>253.1300</v>
      </c>
      <c r="H411" s="14">
        <v>0</v>
      </c>
      <c r="I411" s="14">
        <v>253.1300</v>
      </c>
      <c r="J411" s="13" t="s">
        <v>40</v>
      </c>
    </row>
    <row r="412" ht="21.3" customHeight="true" customFormat="true" s="8">
      <c r="A412" s="12">
        <v>44872</v>
      </c>
      <c r="B412" s="13" t="s">
        <v>36</v>
      </c>
      <c r="C412" s="18" t="s">
        <v>506</v>
      </c>
      <c r="D412" s="13" t="s">
        <v>504</v>
      </c>
      <c r="E412" s="13" t="s">
        <v>16</v>
      </c>
      <c r="F412" s="14">
        <v>0</v>
      </c>
      <c r="G412" s="14">
        <v>200.0000</v>
      </c>
      <c r="H412" s="14">
        <v>0</v>
      </c>
      <c r="I412" s="14">
        <v>200.0000</v>
      </c>
      <c r="J412" s="13" t="s">
        <v>40</v>
      </c>
    </row>
    <row r="413" ht="21.3" customHeight="true" customFormat="true" s="8">
      <c r="A413" s="12">
        <v>44872</v>
      </c>
      <c r="B413" s="13" t="s">
        <v>36</v>
      </c>
      <c r="C413" s="18" t="s">
        <v>497</v>
      </c>
      <c r="D413" s="13" t="s">
        <v>504</v>
      </c>
      <c r="E413" s="13" t="s">
        <v>16</v>
      </c>
      <c r="F413" s="14">
        <v>0</v>
      </c>
      <c r="G413" s="14">
        <v>100.0000</v>
      </c>
      <c r="H413" s="14">
        <v>0</v>
      </c>
      <c r="I413" s="14">
        <v>100.0000</v>
      </c>
      <c r="J413" s="13" t="s">
        <v>40</v>
      </c>
    </row>
    <row r="414" ht="21.3" customHeight="true" customFormat="true" s="8">
      <c r="A414" s="12">
        <v>44872</v>
      </c>
      <c r="B414" s="13" t="s">
        <v>36</v>
      </c>
      <c r="C414" s="18" t="s">
        <v>507</v>
      </c>
      <c r="D414" s="13" t="s">
        <v>504</v>
      </c>
      <c r="E414" s="13" t="s">
        <v>16</v>
      </c>
      <c r="F414" s="14">
        <v>0</v>
      </c>
      <c r="G414" s="14">
        <v>1900.0000</v>
      </c>
      <c r="H414" s="14">
        <v>0</v>
      </c>
      <c r="I414" s="14">
        <v>1900.0000</v>
      </c>
      <c r="J414" s="13" t="s">
        <v>31</v>
      </c>
    </row>
    <row r="415" ht="21.3" customHeight="true" customFormat="true" s="8">
      <c r="A415" s="12">
        <v>44872</v>
      </c>
      <c r="B415" s="13" t="s">
        <v>36</v>
      </c>
      <c r="C415" s="18" t="s">
        <v>499</v>
      </c>
      <c r="D415" s="13" t="s">
        <v>504</v>
      </c>
      <c r="E415" s="13" t="s">
        <v>16</v>
      </c>
      <c r="F415" s="14">
        <v>0</v>
      </c>
      <c r="G415" s="14">
        <v>281.2500</v>
      </c>
      <c r="H415" s="14">
        <v>0</v>
      </c>
      <c r="I415" s="14">
        <v>281.2500</v>
      </c>
      <c r="J415" s="13" t="s">
        <v>40</v>
      </c>
    </row>
    <row r="416" ht="31.65" customHeight="true" customFormat="true" s="8">
      <c r="A416" s="12">
        <v>44872</v>
      </c>
      <c r="B416" s="13" t="s">
        <v>36</v>
      </c>
      <c r="C416" s="18" t="s">
        <v>508</v>
      </c>
      <c r="D416" s="13" t="s">
        <v>504</v>
      </c>
      <c r="E416" s="13" t="s">
        <v>16</v>
      </c>
      <c r="F416" s="14">
        <v>0</v>
      </c>
      <c r="G416" s="14">
        <v>2025.0000</v>
      </c>
      <c r="H416" s="14">
        <v>0</v>
      </c>
      <c r="I416" s="14">
        <v>2025.0000</v>
      </c>
      <c r="J416" s="13" t="s">
        <v>40</v>
      </c>
    </row>
    <row r="417" ht="21.3" customHeight="true" customFormat="true" s="8">
      <c r="A417" s="12">
        <v>44872</v>
      </c>
      <c r="B417" s="13" t="s">
        <v>36</v>
      </c>
      <c r="C417" s="18" t="s">
        <v>503</v>
      </c>
      <c r="D417" s="13" t="s">
        <v>504</v>
      </c>
      <c r="E417" s="13" t="s">
        <v>16</v>
      </c>
      <c r="F417" s="14">
        <v>0</v>
      </c>
      <c r="G417" s="14">
        <v>187.5000</v>
      </c>
      <c r="H417" s="14">
        <v>0</v>
      </c>
      <c r="I417" s="14">
        <v>187.5000</v>
      </c>
      <c r="J417" s="13" t="s">
        <v>40</v>
      </c>
    </row>
    <row r="418" ht="21.3" customHeight="true" customFormat="true" s="8">
      <c r="A418" s="12">
        <v>44872</v>
      </c>
      <c r="B418" s="13" t="s">
        <v>36</v>
      </c>
      <c r="C418" s="18" t="s">
        <v>505</v>
      </c>
      <c r="D418" s="13" t="s">
        <v>504</v>
      </c>
      <c r="E418" s="13" t="s">
        <v>16</v>
      </c>
      <c r="F418" s="14">
        <v>0</v>
      </c>
      <c r="G418" s="14">
        <v>70.0000</v>
      </c>
      <c r="H418" s="14">
        <v>0</v>
      </c>
      <c r="I418" s="14">
        <v>70.0000</v>
      </c>
      <c r="J418" s="13" t="s">
        <v>40</v>
      </c>
    </row>
    <row r="419" ht="21.3" customHeight="true" customFormat="true" s="8">
      <c r="A419" s="12">
        <v>44872</v>
      </c>
      <c r="B419" s="13" t="s">
        <v>36</v>
      </c>
      <c r="C419" s="18" t="s">
        <v>509</v>
      </c>
      <c r="D419" s="13" t="s">
        <v>504</v>
      </c>
      <c r="E419" s="13" t="s">
        <v>16</v>
      </c>
      <c r="F419" s="14">
        <v>0</v>
      </c>
      <c r="G419" s="14">
        <v>400.0000</v>
      </c>
      <c r="H419" s="14">
        <v>0</v>
      </c>
      <c r="I419" s="14">
        <v>400.0000</v>
      </c>
      <c r="J419" s="13" t="s">
        <v>40</v>
      </c>
    </row>
    <row r="420" ht="31.65" customHeight="true" customFormat="true" s="8">
      <c r="A420" s="12">
        <v>45155</v>
      </c>
      <c r="B420" s="13" t="s">
        <v>36</v>
      </c>
      <c r="C420" s="18" t="s">
        <v>510</v>
      </c>
      <c r="D420" s="13" t="s">
        <v>511</v>
      </c>
      <c r="E420" s="13" t="s">
        <v>16</v>
      </c>
      <c r="F420" s="14">
        <v>0</v>
      </c>
      <c r="G420" s="14">
        <v>168.7500</v>
      </c>
      <c r="H420" s="14">
        <v>0</v>
      </c>
      <c r="I420" s="14">
        <v>168.7500</v>
      </c>
      <c r="J420" s="13" t="s">
        <v>40</v>
      </c>
    </row>
    <row r="421" ht="10.95" customHeight="true" customFormat="true" s="8">
      <c r="A421" s="12">
        <v>45155</v>
      </c>
      <c r="B421" s="13" t="s">
        <v>36</v>
      </c>
      <c r="C421" s="13" t="s">
        <v>502</v>
      </c>
      <c r="D421" s="13" t="s">
        <v>511</v>
      </c>
      <c r="E421" s="13" t="s">
        <v>16</v>
      </c>
      <c r="F421" s="14">
        <v>0</v>
      </c>
      <c r="G421" s="14">
        <v>4.1700</v>
      </c>
      <c r="H421" s="14">
        <v>0</v>
      </c>
      <c r="I421" s="14">
        <v>4.1700</v>
      </c>
      <c r="J421" s="13" t="s">
        <v>40</v>
      </c>
    </row>
    <row r="422" ht="10.95" customHeight="true" customFormat="true" s="8">
      <c r="A422" s="15" t="s">
        <v>512</v>
      </c>
      <c r="B422" s="15"/>
      <c r="C422" s="15"/>
      <c r="D422" s="15"/>
      <c r="E422" s="15"/>
      <c r="F422" s="16">
        <f ca="1">SUM(F393:F421)</f>
        <v>0</v>
      </c>
      <c r="G422" s="16">
        <f ca="1">SUM(G393:G421)</f>
        <v>0</v>
      </c>
      <c r="H422" s="16">
        <f ca="1">SUM(H393:H421)</f>
        <v>0</v>
      </c>
      <c r="I422" s="16">
        <f ca="1">SUM(I393:I421)</f>
        <v>0</v>
      </c>
      <c r="J422" s="15"/>
    </row>
    <row r="423" ht="13.35" customHeight="true"/>
    <row r="424" ht="12.1" customHeight="true" customFormat="true" s="5">
      <c r="A424" s="17" t="s">
        <v>513</v>
      </c>
      <c r="B424" s="17"/>
      <c r="C424" s="17"/>
      <c r="D424" s="17"/>
      <c r="E424" s="17"/>
      <c r="F424" s="17"/>
      <c r="G424" s="17"/>
      <c r="H424" s="17"/>
      <c r="I424" s="17"/>
      <c r="J424" s="17"/>
    </row>
    <row r="425" ht="21.3" customHeight="true" customFormat="true" s="8">
      <c r="A425" s="9">
        <v>44735</v>
      </c>
      <c r="B425" s="10" t="s">
        <v>36</v>
      </c>
      <c r="C425" s="19" t="s">
        <v>514</v>
      </c>
      <c r="D425" s="10" t="s">
        <v>515</v>
      </c>
      <c r="E425" s="10" t="s">
        <v>16</v>
      </c>
      <c r="F425" s="11">
        <v>0</v>
      </c>
      <c r="G425" s="11">
        <v>567.0000</v>
      </c>
      <c r="H425" s="11">
        <v>0</v>
      </c>
      <c r="I425" s="11">
        <v>567.0000</v>
      </c>
      <c r="J425" s="10" t="s">
        <v>40</v>
      </c>
    </row>
    <row r="426" ht="21.3" customHeight="true" customFormat="true" s="8">
      <c r="A426" s="12">
        <v>44735</v>
      </c>
      <c r="B426" s="13" t="s">
        <v>36</v>
      </c>
      <c r="C426" s="18" t="s">
        <v>516</v>
      </c>
      <c r="D426" s="13" t="s">
        <v>515</v>
      </c>
      <c r="E426" s="13" t="s">
        <v>16</v>
      </c>
      <c r="F426" s="14">
        <v>0</v>
      </c>
      <c r="G426" s="14">
        <v>810.0000</v>
      </c>
      <c r="H426" s="14">
        <v>0</v>
      </c>
      <c r="I426" s="14">
        <v>810.0000</v>
      </c>
      <c r="J426" s="13" t="s">
        <v>40</v>
      </c>
    </row>
    <row r="427" ht="21.3" customHeight="true" customFormat="true" s="8">
      <c r="A427" s="12">
        <v>44735</v>
      </c>
      <c r="B427" s="13" t="s">
        <v>36</v>
      </c>
      <c r="C427" s="18" t="s">
        <v>517</v>
      </c>
      <c r="D427" s="13" t="s">
        <v>515</v>
      </c>
      <c r="E427" s="13" t="s">
        <v>16</v>
      </c>
      <c r="F427" s="14">
        <v>0</v>
      </c>
      <c r="G427" s="14">
        <v>672.0000</v>
      </c>
      <c r="H427" s="14">
        <v>0</v>
      </c>
      <c r="I427" s="14">
        <v>672.0000</v>
      </c>
      <c r="J427" s="13" t="s">
        <v>40</v>
      </c>
    </row>
    <row r="428" ht="21.3" customHeight="true" customFormat="true" s="8">
      <c r="A428" s="12">
        <v>44735</v>
      </c>
      <c r="B428" s="13" t="s">
        <v>36</v>
      </c>
      <c r="C428" s="18" t="s">
        <v>518</v>
      </c>
      <c r="D428" s="13" t="s">
        <v>515</v>
      </c>
      <c r="E428" s="13" t="s">
        <v>16</v>
      </c>
      <c r="F428" s="14">
        <v>0</v>
      </c>
      <c r="G428" s="14">
        <v>2424.0000</v>
      </c>
      <c r="H428" s="14">
        <v>0</v>
      </c>
      <c r="I428" s="14">
        <v>2424.0000</v>
      </c>
      <c r="J428" s="13" t="s">
        <v>31</v>
      </c>
    </row>
    <row r="429" ht="21.3" customHeight="true" customFormat="true" s="8">
      <c r="A429" s="12">
        <v>44735</v>
      </c>
      <c r="B429" s="13" t="s">
        <v>36</v>
      </c>
      <c r="C429" s="18" t="s">
        <v>519</v>
      </c>
      <c r="D429" s="13" t="s">
        <v>515</v>
      </c>
      <c r="E429" s="13" t="s">
        <v>16</v>
      </c>
      <c r="F429" s="14">
        <v>0</v>
      </c>
      <c r="G429" s="14">
        <v>2850.0000</v>
      </c>
      <c r="H429" s="14">
        <v>0</v>
      </c>
      <c r="I429" s="14">
        <v>2850.0000</v>
      </c>
      <c r="J429" s="13" t="s">
        <v>31</v>
      </c>
    </row>
    <row r="430" ht="21.3" customHeight="true" customFormat="true" s="8">
      <c r="A430" s="12">
        <v>44735</v>
      </c>
      <c r="B430" s="13" t="s">
        <v>36</v>
      </c>
      <c r="C430" s="18" t="s">
        <v>520</v>
      </c>
      <c r="D430" s="13" t="s">
        <v>515</v>
      </c>
      <c r="E430" s="13" t="s">
        <v>16</v>
      </c>
      <c r="F430" s="14">
        <v>0</v>
      </c>
      <c r="G430" s="14">
        <v>120.0000</v>
      </c>
      <c r="H430" s="14">
        <v>0</v>
      </c>
      <c r="I430" s="14">
        <v>120.0000</v>
      </c>
      <c r="J430" s="13" t="s">
        <v>40</v>
      </c>
    </row>
    <row r="431" ht="21.3" customHeight="true" customFormat="true" s="8">
      <c r="A431" s="12">
        <v>44735</v>
      </c>
      <c r="B431" s="13" t="s">
        <v>36</v>
      </c>
      <c r="C431" s="18" t="s">
        <v>521</v>
      </c>
      <c r="D431" s="13" t="s">
        <v>515</v>
      </c>
      <c r="E431" s="13" t="s">
        <v>16</v>
      </c>
      <c r="F431" s="14">
        <v>0</v>
      </c>
      <c r="G431" s="14">
        <v>187.5000</v>
      </c>
      <c r="H431" s="14">
        <v>0</v>
      </c>
      <c r="I431" s="14">
        <v>187.5000</v>
      </c>
      <c r="J431" s="13" t="s">
        <v>40</v>
      </c>
    </row>
    <row r="432" ht="21.3" customHeight="true" customFormat="true" s="8">
      <c r="A432" s="12">
        <v>44735</v>
      </c>
      <c r="B432" s="13" t="s">
        <v>36</v>
      </c>
      <c r="C432" s="18" t="s">
        <v>522</v>
      </c>
      <c r="D432" s="13" t="s">
        <v>515</v>
      </c>
      <c r="E432" s="13" t="s">
        <v>16</v>
      </c>
      <c r="F432" s="14">
        <v>0</v>
      </c>
      <c r="G432" s="14">
        <v>225.0000</v>
      </c>
      <c r="H432" s="14">
        <v>0</v>
      </c>
      <c r="I432" s="14">
        <v>225.0000</v>
      </c>
      <c r="J432" s="13" t="s">
        <v>40</v>
      </c>
    </row>
    <row r="433" ht="31.65" customHeight="true" customFormat="true" s="8">
      <c r="A433" s="12">
        <v>44754</v>
      </c>
      <c r="B433" s="13" t="s">
        <v>36</v>
      </c>
      <c r="C433" s="18" t="s">
        <v>523</v>
      </c>
      <c r="D433" s="13" t="s">
        <v>524</v>
      </c>
      <c r="E433" s="13" t="s">
        <v>16</v>
      </c>
      <c r="F433" s="14">
        <v>0</v>
      </c>
      <c r="G433" s="14">
        <v>336.0000</v>
      </c>
      <c r="H433" s="14">
        <v>0</v>
      </c>
      <c r="I433" s="14">
        <v>336.0000</v>
      </c>
      <c r="J433" s="13" t="s">
        <v>40</v>
      </c>
    </row>
    <row r="434" ht="31.65" customHeight="true" customFormat="true" s="8">
      <c r="A434" s="12">
        <v>44795</v>
      </c>
      <c r="B434" s="13" t="s">
        <v>36</v>
      </c>
      <c r="C434" s="18" t="s">
        <v>523</v>
      </c>
      <c r="D434" s="13" t="s">
        <v>525</v>
      </c>
      <c r="E434" s="13" t="s">
        <v>16</v>
      </c>
      <c r="F434" s="14">
        <v>0</v>
      </c>
      <c r="G434" s="14">
        <v>735.0000</v>
      </c>
      <c r="H434" s="14">
        <v>0</v>
      </c>
      <c r="I434" s="14">
        <v>735.0000</v>
      </c>
      <c r="J434" s="13" t="s">
        <v>40</v>
      </c>
    </row>
    <row r="435" ht="10.95" customHeight="true" customFormat="true" s="8">
      <c r="A435" s="15" t="s">
        <v>526</v>
      </c>
      <c r="B435" s="15"/>
      <c r="C435" s="15"/>
      <c r="D435" s="15"/>
      <c r="E435" s="15"/>
      <c r="F435" s="16">
        <f ca="1">SUM(F425:F434)</f>
        <v>0</v>
      </c>
      <c r="G435" s="16">
        <f ca="1">SUM(G425:G434)</f>
        <v>0</v>
      </c>
      <c r="H435" s="16">
        <f ca="1">SUM(H425:H434)</f>
        <v>0</v>
      </c>
      <c r="I435" s="16">
        <f ca="1">SUM(I425:I434)</f>
        <v>0</v>
      </c>
      <c r="J435" s="15"/>
    </row>
    <row r="436" ht="13.35" customHeight="true"/>
    <row r="437" ht="12.1" customHeight="true" customFormat="true" s="5">
      <c r="A437" s="17" t="s">
        <v>527</v>
      </c>
      <c r="B437" s="17"/>
      <c r="C437" s="17"/>
      <c r="D437" s="17"/>
      <c r="E437" s="17"/>
      <c r="F437" s="17"/>
      <c r="G437" s="17"/>
      <c r="H437" s="17"/>
      <c r="I437" s="17"/>
      <c r="J437" s="17"/>
    </row>
    <row r="438" ht="62.7" customHeight="true" customFormat="true" s="8">
      <c r="A438" s="9">
        <v>44174</v>
      </c>
      <c r="B438" s="10" t="s">
        <v>36</v>
      </c>
      <c r="C438" s="19" t="s">
        <v>528</v>
      </c>
      <c r="D438" s="10" t="s">
        <v>529</v>
      </c>
      <c r="E438" s="10" t="s">
        <v>16</v>
      </c>
      <c r="F438" s="11">
        <v>0</v>
      </c>
      <c r="G438" s="11">
        <v>1813.0000</v>
      </c>
      <c r="H438" s="11">
        <v>0</v>
      </c>
      <c r="I438" s="11">
        <v>1813.0000</v>
      </c>
      <c r="J438" s="10" t="s">
        <v>17</v>
      </c>
    </row>
    <row r="439" ht="10.95" customHeight="true" customFormat="true" s="8">
      <c r="A439" s="12">
        <v>44174</v>
      </c>
      <c r="B439" s="13" t="s">
        <v>36</v>
      </c>
      <c r="C439" s="13" t="s">
        <v>530</v>
      </c>
      <c r="D439" s="13" t="s">
        <v>529</v>
      </c>
      <c r="E439" s="13" t="s">
        <v>16</v>
      </c>
      <c r="F439" s="14">
        <v>0</v>
      </c>
      <c r="G439" s="14">
        <v>100.0000</v>
      </c>
      <c r="H439" s="14">
        <v>0</v>
      </c>
      <c r="I439" s="14">
        <v>100.0000</v>
      </c>
      <c r="J439" s="13" t="s">
        <v>17</v>
      </c>
    </row>
    <row r="440" ht="10.95" customHeight="true" customFormat="true" s="8">
      <c r="A440" s="12">
        <v>44174</v>
      </c>
      <c r="B440" s="13" t="s">
        <v>36</v>
      </c>
      <c r="C440" s="13" t="s">
        <v>531</v>
      </c>
      <c r="D440" s="13" t="s">
        <v>529</v>
      </c>
      <c r="E440" s="13" t="s">
        <v>16</v>
      </c>
      <c r="F440" s="14">
        <v>0</v>
      </c>
      <c r="G440" s="14">
        <v>374.2500</v>
      </c>
      <c r="H440" s="14">
        <v>0</v>
      </c>
      <c r="I440" s="14">
        <v>374.2500</v>
      </c>
      <c r="J440" s="13" t="s">
        <v>17</v>
      </c>
    </row>
    <row r="441" ht="10.95" customHeight="true" customFormat="true" s="8">
      <c r="A441" s="12">
        <v>44174</v>
      </c>
      <c r="B441" s="13" t="s">
        <v>36</v>
      </c>
      <c r="C441" s="13" t="s">
        <v>532</v>
      </c>
      <c r="D441" s="13" t="s">
        <v>529</v>
      </c>
      <c r="E441" s="13" t="s">
        <v>16</v>
      </c>
      <c r="F441" s="14">
        <v>0</v>
      </c>
      <c r="G441" s="14">
        <v>172.5000</v>
      </c>
      <c r="H441" s="14">
        <v>0</v>
      </c>
      <c r="I441" s="14">
        <v>172.5000</v>
      </c>
      <c r="J441" s="13" t="s">
        <v>17</v>
      </c>
    </row>
    <row r="442" ht="10.95" customHeight="true" customFormat="true" s="8">
      <c r="A442" s="12">
        <v>44174</v>
      </c>
      <c r="B442" s="13" t="s">
        <v>36</v>
      </c>
      <c r="C442" s="13" t="s">
        <v>533</v>
      </c>
      <c r="D442" s="13" t="s">
        <v>529</v>
      </c>
      <c r="E442" s="13" t="s">
        <v>16</v>
      </c>
      <c r="F442" s="14">
        <v>0</v>
      </c>
      <c r="G442" s="14">
        <v>460.0000</v>
      </c>
      <c r="H442" s="14">
        <v>0</v>
      </c>
      <c r="I442" s="14">
        <v>460.0000</v>
      </c>
      <c r="J442" s="13" t="s">
        <v>17</v>
      </c>
    </row>
    <row r="443" ht="10.95" customHeight="true" customFormat="true" s="8">
      <c r="A443" s="12">
        <v>44216</v>
      </c>
      <c r="B443" s="13" t="s">
        <v>153</v>
      </c>
      <c r="C443" s="13" t="s">
        <v>534</v>
      </c>
      <c r="D443" s="13" t="s">
        <v>535</v>
      </c>
      <c r="E443" s="13" t="s">
        <v>16</v>
      </c>
      <c r="F443" s="14">
        <v>0</v>
      </c>
      <c r="G443" s="14">
        <v>34.0700</v>
      </c>
      <c r="H443" s="14">
        <v>0</v>
      </c>
      <c r="I443" s="14">
        <v>34.0700</v>
      </c>
      <c r="J443" s="13" t="s">
        <v>56</v>
      </c>
    </row>
    <row r="444" ht="21.3" customHeight="true" customFormat="true" s="8">
      <c r="A444" s="12">
        <v>44279</v>
      </c>
      <c r="B444" s="13" t="s">
        <v>399</v>
      </c>
      <c r="C444" s="18" t="s">
        <v>536</v>
      </c>
      <c r="D444" s="13" t="s">
        <v>537</v>
      </c>
      <c r="E444" s="13" t="s">
        <v>538</v>
      </c>
      <c r="F444" s="14">
        <v>1500.0000</v>
      </c>
      <c r="G444" s="14">
        <v>0</v>
      </c>
      <c r="H444" s="14">
        <v>1294.7300</v>
      </c>
      <c r="I444" s="14">
        <v>0</v>
      </c>
      <c r="J444" s="13" t="s">
        <v>31</v>
      </c>
    </row>
    <row r="445" ht="21.3" customHeight="true" customFormat="true" s="8">
      <c r="A445" s="12">
        <v>44279</v>
      </c>
      <c r="B445" s="13" t="s">
        <v>399</v>
      </c>
      <c r="C445" s="18" t="s">
        <v>539</v>
      </c>
      <c r="D445" s="13" t="s">
        <v>537</v>
      </c>
      <c r="E445" s="13" t="s">
        <v>538</v>
      </c>
      <c r="F445" s="14">
        <v>270.0000</v>
      </c>
      <c r="G445" s="14">
        <v>0</v>
      </c>
      <c r="H445" s="14">
        <v>233.0500</v>
      </c>
      <c r="I445" s="14">
        <v>0</v>
      </c>
      <c r="J445" s="13" t="s">
        <v>31</v>
      </c>
    </row>
    <row r="446" ht="42" customHeight="true" customFormat="true" s="8">
      <c r="A446" s="12">
        <v>44413</v>
      </c>
      <c r="B446" s="13" t="s">
        <v>36</v>
      </c>
      <c r="C446" s="18" t="s">
        <v>540</v>
      </c>
      <c r="D446" s="13" t="s">
        <v>541</v>
      </c>
      <c r="E446" s="13" t="s">
        <v>16</v>
      </c>
      <c r="F446" s="14">
        <v>0</v>
      </c>
      <c r="G446" s="14">
        <v>3300.0000</v>
      </c>
      <c r="H446" s="14">
        <v>0</v>
      </c>
      <c r="I446" s="14">
        <v>3300.0000</v>
      </c>
      <c r="J446" s="13" t="s">
        <v>17</v>
      </c>
    </row>
    <row r="447" ht="10.95" customHeight="true" customFormat="true" s="8">
      <c r="A447" s="12">
        <v>44413</v>
      </c>
      <c r="B447" s="13" t="s">
        <v>36</v>
      </c>
      <c r="C447" s="13" t="s">
        <v>542</v>
      </c>
      <c r="D447" s="13" t="s">
        <v>541</v>
      </c>
      <c r="E447" s="13" t="s">
        <v>16</v>
      </c>
      <c r="F447" s="14">
        <v>2070.0000</v>
      </c>
      <c r="G447" s="14">
        <v>0</v>
      </c>
      <c r="H447" s="14">
        <v>2070.0000</v>
      </c>
      <c r="I447" s="14">
        <v>0</v>
      </c>
      <c r="J447" s="13" t="s">
        <v>31</v>
      </c>
    </row>
    <row r="448" ht="10.95" customHeight="true" customFormat="true" s="8">
      <c r="A448" s="12">
        <v>44413</v>
      </c>
      <c r="B448" s="13" t="s">
        <v>36</v>
      </c>
      <c r="C448" s="13" t="s">
        <v>543</v>
      </c>
      <c r="D448" s="13" t="s">
        <v>541</v>
      </c>
      <c r="E448" s="13" t="s">
        <v>16</v>
      </c>
      <c r="F448" s="14">
        <v>0</v>
      </c>
      <c r="G448" s="14">
        <v>260.0000</v>
      </c>
      <c r="H448" s="14">
        <v>0</v>
      </c>
      <c r="I448" s="14">
        <v>260.0000</v>
      </c>
      <c r="J448" s="13" t="s">
        <v>17</v>
      </c>
    </row>
    <row r="449" ht="73.05" customHeight="true" customFormat="true" s="8">
      <c r="A449" s="12">
        <v>44881</v>
      </c>
      <c r="B449" s="13" t="s">
        <v>36</v>
      </c>
      <c r="C449" s="18" t="s">
        <v>544</v>
      </c>
      <c r="D449" s="13" t="s">
        <v>545</v>
      </c>
      <c r="E449" s="13" t="s">
        <v>16</v>
      </c>
      <c r="F449" s="14">
        <v>0</v>
      </c>
      <c r="G449" s="14">
        <v>2310.0000</v>
      </c>
      <c r="H449" s="14">
        <v>0</v>
      </c>
      <c r="I449" s="14">
        <v>2310.0000</v>
      </c>
      <c r="J449" s="13" t="s">
        <v>40</v>
      </c>
    </row>
    <row r="450" ht="73.05" customHeight="true" customFormat="true" s="8">
      <c r="A450" s="12">
        <v>44881</v>
      </c>
      <c r="B450" s="13" t="s">
        <v>36</v>
      </c>
      <c r="C450" s="18" t="s">
        <v>546</v>
      </c>
      <c r="D450" s="13" t="s">
        <v>545</v>
      </c>
      <c r="E450" s="13" t="s">
        <v>16</v>
      </c>
      <c r="F450" s="14">
        <v>0</v>
      </c>
      <c r="G450" s="14">
        <v>330.0000</v>
      </c>
      <c r="H450" s="14">
        <v>0</v>
      </c>
      <c r="I450" s="14">
        <v>330.0000</v>
      </c>
      <c r="J450" s="13" t="s">
        <v>40</v>
      </c>
    </row>
    <row r="451" ht="10.95" customHeight="true" customFormat="true" s="8">
      <c r="A451" s="12">
        <v>44881</v>
      </c>
      <c r="B451" s="13" t="s">
        <v>36</v>
      </c>
      <c r="C451" s="13" t="s">
        <v>547</v>
      </c>
      <c r="D451" s="13" t="s">
        <v>545</v>
      </c>
      <c r="E451" s="13" t="s">
        <v>16</v>
      </c>
      <c r="F451" s="14">
        <v>0</v>
      </c>
      <c r="G451" s="14">
        <v>16.6700</v>
      </c>
      <c r="H451" s="14">
        <v>0</v>
      </c>
      <c r="I451" s="14">
        <v>16.6700</v>
      </c>
      <c r="J451" s="13" t="s">
        <v>56</v>
      </c>
    </row>
    <row r="452" ht="10.95" customHeight="true" customFormat="true" s="8">
      <c r="A452" s="15" t="s">
        <v>548</v>
      </c>
      <c r="B452" s="15"/>
      <c r="C452" s="15"/>
      <c r="D452" s="15"/>
      <c r="E452" s="15"/>
      <c r="F452" s="15"/>
      <c r="G452" s="15"/>
      <c r="H452" s="16">
        <f ca="1">SUM(H438:H451)</f>
        <v>0</v>
      </c>
      <c r="I452" s="16">
        <f ca="1">SUM(I438:I451)</f>
        <v>0</v>
      </c>
      <c r="J452" s="15"/>
    </row>
    <row r="453" ht="13.35" customHeight="true"/>
    <row r="454" ht="12.1" customHeight="true" customFormat="true" s="5">
      <c r="A454" s="17" t="s">
        <v>549</v>
      </c>
      <c r="B454" s="17"/>
      <c r="C454" s="17"/>
      <c r="D454" s="17"/>
      <c r="E454" s="17"/>
      <c r="F454" s="17"/>
      <c r="G454" s="17"/>
      <c r="H454" s="17"/>
      <c r="I454" s="17"/>
      <c r="J454" s="17"/>
    </row>
    <row r="455" ht="31.65" customHeight="true" customFormat="true" s="8">
      <c r="A455" s="9">
        <v>44440</v>
      </c>
      <c r="B455" s="10" t="s">
        <v>36</v>
      </c>
      <c r="C455" s="19" t="s">
        <v>550</v>
      </c>
      <c r="D455" s="10" t="s">
        <v>551</v>
      </c>
      <c r="E455" s="10" t="s">
        <v>16</v>
      </c>
      <c r="F455" s="11">
        <v>0</v>
      </c>
      <c r="G455" s="11">
        <v>1160.7100</v>
      </c>
      <c r="H455" s="11">
        <v>0</v>
      </c>
      <c r="I455" s="11">
        <v>1160.7100</v>
      </c>
      <c r="J455" s="10" t="s">
        <v>31</v>
      </c>
    </row>
    <row r="456" ht="31.65" customHeight="true" customFormat="true" s="8">
      <c r="A456" s="12">
        <v>44440</v>
      </c>
      <c r="B456" s="13" t="s">
        <v>36</v>
      </c>
      <c r="C456" s="18" t="s">
        <v>552</v>
      </c>
      <c r="D456" s="13" t="s">
        <v>551</v>
      </c>
      <c r="E456" s="13" t="s">
        <v>16</v>
      </c>
      <c r="F456" s="14">
        <v>0</v>
      </c>
      <c r="G456" s="14">
        <v>428.5800</v>
      </c>
      <c r="H456" s="14">
        <v>0</v>
      </c>
      <c r="I456" s="14">
        <v>428.5800</v>
      </c>
      <c r="J456" s="13" t="s">
        <v>31</v>
      </c>
    </row>
    <row r="457" ht="93.75" customHeight="true" customFormat="true" s="8">
      <c r="A457" s="12">
        <v>44440</v>
      </c>
      <c r="B457" s="13" t="s">
        <v>36</v>
      </c>
      <c r="C457" s="18" t="s">
        <v>553</v>
      </c>
      <c r="D457" s="13" t="s">
        <v>551</v>
      </c>
      <c r="E457" s="13" t="s">
        <v>16</v>
      </c>
      <c r="F457" s="14">
        <v>0</v>
      </c>
      <c r="G457" s="14">
        <v>300.0000</v>
      </c>
      <c r="H457" s="14">
        <v>0</v>
      </c>
      <c r="I457" s="14">
        <v>300.0000</v>
      </c>
      <c r="J457" s="13" t="s">
        <v>40</v>
      </c>
    </row>
    <row r="458" ht="31.65" customHeight="true" customFormat="true" s="8">
      <c r="A458" s="12">
        <v>44440</v>
      </c>
      <c r="B458" s="13" t="s">
        <v>36</v>
      </c>
      <c r="C458" s="18" t="s">
        <v>554</v>
      </c>
      <c r="D458" s="13" t="s">
        <v>551</v>
      </c>
      <c r="E458" s="13" t="s">
        <v>16</v>
      </c>
      <c r="F458" s="14">
        <v>0</v>
      </c>
      <c r="G458" s="14">
        <v>153.6400</v>
      </c>
      <c r="H458" s="14">
        <v>0</v>
      </c>
      <c r="I458" s="14">
        <v>153.6400</v>
      </c>
      <c r="J458" s="13" t="s">
        <v>40</v>
      </c>
    </row>
    <row r="459" ht="10.95" customHeight="true" customFormat="true" s="8">
      <c r="A459" s="12">
        <v>44440</v>
      </c>
      <c r="B459" s="13" t="s">
        <v>153</v>
      </c>
      <c r="C459" s="13" t="s">
        <v>555</v>
      </c>
      <c r="D459" s="13" t="s">
        <v>556</v>
      </c>
      <c r="E459" s="13" t="s">
        <v>16</v>
      </c>
      <c r="F459" s="14">
        <v>0</v>
      </c>
      <c r="G459" s="14">
        <v>23.8300</v>
      </c>
      <c r="H459" s="14">
        <v>0</v>
      </c>
      <c r="I459" s="14">
        <v>23.8300</v>
      </c>
      <c r="J459" s="13" t="s">
        <v>56</v>
      </c>
    </row>
    <row r="460" ht="10.95" customHeight="true" customFormat="true" s="8">
      <c r="A460" s="15" t="s">
        <v>557</v>
      </c>
      <c r="B460" s="15"/>
      <c r="C460" s="15"/>
      <c r="D460" s="15"/>
      <c r="E460" s="15"/>
      <c r="F460" s="16">
        <f ca="1">SUM(F455:F459)</f>
        <v>0</v>
      </c>
      <c r="G460" s="16">
        <f ca="1">SUM(G455:G459)</f>
        <v>0</v>
      </c>
      <c r="H460" s="16">
        <f ca="1">SUM(H455:H459)</f>
        <v>0</v>
      </c>
      <c r="I460" s="16">
        <f ca="1">SUM(I455:I459)</f>
        <v>0</v>
      </c>
      <c r="J460" s="15"/>
    </row>
    <row r="461" ht="13.35" customHeight="true"/>
    <row r="462" ht="12.1" customHeight="true" customFormat="true" s="5">
      <c r="A462" s="17" t="s">
        <v>558</v>
      </c>
      <c r="B462" s="17"/>
      <c r="C462" s="17"/>
      <c r="D462" s="17"/>
      <c r="E462" s="17"/>
      <c r="F462" s="17"/>
      <c r="G462" s="17"/>
      <c r="H462" s="17"/>
      <c r="I462" s="17"/>
      <c r="J462" s="17"/>
    </row>
    <row r="463" ht="10.95" customHeight="true" customFormat="true" s="8">
      <c r="A463" s="9">
        <v>44204</v>
      </c>
      <c r="B463" s="10" t="s">
        <v>36</v>
      </c>
      <c r="C463" s="10" t="s">
        <v>559</v>
      </c>
      <c r="D463" s="10" t="s">
        <v>560</v>
      </c>
      <c r="E463" s="10" t="s">
        <v>16</v>
      </c>
      <c r="F463" s="11">
        <v>0</v>
      </c>
      <c r="G463" s="11">
        <v>522.7700</v>
      </c>
      <c r="H463" s="11">
        <v>0</v>
      </c>
      <c r="I463" s="11">
        <v>522.7700</v>
      </c>
      <c r="J463" s="10" t="s">
        <v>17</v>
      </c>
    </row>
    <row r="464" ht="10.95" customHeight="true" customFormat="true" s="8">
      <c r="A464" s="12">
        <v>44204</v>
      </c>
      <c r="B464" s="13" t="s">
        <v>36</v>
      </c>
      <c r="C464" s="13" t="s">
        <v>561</v>
      </c>
      <c r="D464" s="13" t="s">
        <v>560</v>
      </c>
      <c r="E464" s="13" t="s">
        <v>16</v>
      </c>
      <c r="F464" s="14">
        <v>0</v>
      </c>
      <c r="G464" s="14">
        <v>1227.5400</v>
      </c>
      <c r="H464" s="14">
        <v>0</v>
      </c>
      <c r="I464" s="14">
        <v>1227.5400</v>
      </c>
      <c r="J464" s="13" t="s">
        <v>17</v>
      </c>
    </row>
    <row r="465" ht="10.95" customHeight="true" customFormat="true" s="8">
      <c r="A465" s="12">
        <v>44204</v>
      </c>
      <c r="B465" s="13" t="s">
        <v>36</v>
      </c>
      <c r="C465" s="13" t="s">
        <v>562</v>
      </c>
      <c r="D465" s="13" t="s">
        <v>560</v>
      </c>
      <c r="E465" s="13" t="s">
        <v>16</v>
      </c>
      <c r="F465" s="14">
        <v>0</v>
      </c>
      <c r="G465" s="14">
        <v>274.5000</v>
      </c>
      <c r="H465" s="14">
        <v>0</v>
      </c>
      <c r="I465" s="14">
        <v>274.5000</v>
      </c>
      <c r="J465" s="13" t="s">
        <v>17</v>
      </c>
    </row>
    <row r="466" ht="10.95" customHeight="true" customFormat="true" s="8">
      <c r="A466" s="12">
        <v>44204</v>
      </c>
      <c r="B466" s="13" t="s">
        <v>36</v>
      </c>
      <c r="C466" s="13" t="s">
        <v>559</v>
      </c>
      <c r="D466" s="13" t="s">
        <v>560</v>
      </c>
      <c r="E466" s="13" t="s">
        <v>16</v>
      </c>
      <c r="F466" s="14">
        <v>0</v>
      </c>
      <c r="G466" s="14">
        <v>638.9400</v>
      </c>
      <c r="H466" s="14">
        <v>0</v>
      </c>
      <c r="I466" s="14">
        <v>638.9400</v>
      </c>
      <c r="J466" s="13" t="s">
        <v>31</v>
      </c>
    </row>
    <row r="467" ht="10.95" customHeight="true" customFormat="true" s="8">
      <c r="A467" s="12">
        <v>44204</v>
      </c>
      <c r="B467" s="13" t="s">
        <v>36</v>
      </c>
      <c r="C467" s="13" t="s">
        <v>561</v>
      </c>
      <c r="D467" s="13" t="s">
        <v>560</v>
      </c>
      <c r="E467" s="13" t="s">
        <v>16</v>
      </c>
      <c r="F467" s="14">
        <v>0</v>
      </c>
      <c r="G467" s="14">
        <v>1500.3300</v>
      </c>
      <c r="H467" s="14">
        <v>0</v>
      </c>
      <c r="I467" s="14">
        <v>1500.3300</v>
      </c>
      <c r="J467" s="13" t="s">
        <v>17</v>
      </c>
    </row>
    <row r="468" ht="10.95" customHeight="true" customFormat="true" s="8">
      <c r="A468" s="12">
        <v>44204</v>
      </c>
      <c r="B468" s="13" t="s">
        <v>36</v>
      </c>
      <c r="C468" s="13" t="s">
        <v>562</v>
      </c>
      <c r="D468" s="13" t="s">
        <v>560</v>
      </c>
      <c r="E468" s="13" t="s">
        <v>16</v>
      </c>
      <c r="F468" s="14">
        <v>0</v>
      </c>
      <c r="G468" s="14">
        <v>335.5000</v>
      </c>
      <c r="H468" s="14">
        <v>0</v>
      </c>
      <c r="I468" s="14">
        <v>335.5000</v>
      </c>
      <c r="J468" s="13" t="s">
        <v>17</v>
      </c>
    </row>
    <row r="469" ht="10.95" customHeight="true" customFormat="true" s="8">
      <c r="A469" s="15" t="s">
        <v>563</v>
      </c>
      <c r="B469" s="15"/>
      <c r="C469" s="15"/>
      <c r="D469" s="15"/>
      <c r="E469" s="15"/>
      <c r="F469" s="16">
        <f ca="1">SUM(F463:F468)</f>
        <v>0</v>
      </c>
      <c r="G469" s="16">
        <f ca="1">SUM(G463:G468)</f>
        <v>0</v>
      </c>
      <c r="H469" s="16">
        <f ca="1">SUM(H463:H468)</f>
        <v>0</v>
      </c>
      <c r="I469" s="16">
        <f ca="1">SUM(I463:I468)</f>
        <v>0</v>
      </c>
      <c r="J469" s="15"/>
    </row>
    <row r="470" ht="13.35" customHeight="true"/>
    <row r="471" ht="12.1" customHeight="true" customFormat="true" s="5">
      <c r="A471" s="17" t="s">
        <v>564</v>
      </c>
      <c r="B471" s="17"/>
      <c r="C471" s="17"/>
      <c r="D471" s="17"/>
      <c r="E471" s="17"/>
      <c r="F471" s="17"/>
      <c r="G471" s="17"/>
      <c r="H471" s="17"/>
      <c r="I471" s="17"/>
      <c r="J471" s="17"/>
    </row>
    <row r="472" ht="10.95" customHeight="true" customFormat="true" s="8">
      <c r="A472" s="9">
        <v>44258</v>
      </c>
      <c r="B472" s="10" t="s">
        <v>153</v>
      </c>
      <c r="C472" s="10" t="s">
        <v>565</v>
      </c>
      <c r="D472" s="10" t="s">
        <v>566</v>
      </c>
      <c r="E472" s="10" t="s">
        <v>16</v>
      </c>
      <c r="F472" s="11">
        <v>0</v>
      </c>
      <c r="G472" s="11">
        <v>4.4000</v>
      </c>
      <c r="H472" s="11">
        <v>0</v>
      </c>
      <c r="I472" s="11">
        <v>4.4000</v>
      </c>
      <c r="J472" s="10" t="s">
        <v>56</v>
      </c>
    </row>
    <row r="473" ht="10.95" customHeight="true" customFormat="true" s="8">
      <c r="A473" s="12">
        <v>44258</v>
      </c>
      <c r="B473" s="13" t="s">
        <v>36</v>
      </c>
      <c r="C473" s="13" t="s">
        <v>567</v>
      </c>
      <c r="D473" s="13" t="s">
        <v>568</v>
      </c>
      <c r="E473" s="13" t="s">
        <v>16</v>
      </c>
      <c r="F473" s="14">
        <v>0</v>
      </c>
      <c r="G473" s="14">
        <v>214.2900</v>
      </c>
      <c r="H473" s="14">
        <v>0</v>
      </c>
      <c r="I473" s="14">
        <v>214.2900</v>
      </c>
      <c r="J473" s="13" t="s">
        <v>31</v>
      </c>
    </row>
    <row r="474" ht="10.95" customHeight="true" customFormat="true" s="8">
      <c r="A474" s="12">
        <v>44258</v>
      </c>
      <c r="B474" s="13" t="s">
        <v>36</v>
      </c>
      <c r="C474" s="13" t="s">
        <v>569</v>
      </c>
      <c r="D474" s="13" t="s">
        <v>568</v>
      </c>
      <c r="E474" s="13" t="s">
        <v>16</v>
      </c>
      <c r="F474" s="14">
        <v>0</v>
      </c>
      <c r="G474" s="14">
        <v>100.0000</v>
      </c>
      <c r="H474" s="14">
        <v>0</v>
      </c>
      <c r="I474" s="14">
        <v>100.0000</v>
      </c>
      <c r="J474" s="13" t="s">
        <v>40</v>
      </c>
    </row>
    <row r="475" ht="10.95" customHeight="true" customFormat="true" s="8">
      <c r="A475" s="15" t="s">
        <v>570</v>
      </c>
      <c r="B475" s="15"/>
      <c r="C475" s="15"/>
      <c r="D475" s="15"/>
      <c r="E475" s="15"/>
      <c r="F475" s="16">
        <f ca="1">SUM(F472:F474)</f>
        <v>0</v>
      </c>
      <c r="G475" s="16">
        <f ca="1">SUM(G472:G474)</f>
        <v>0</v>
      </c>
      <c r="H475" s="16">
        <f ca="1">SUM(H472:H474)</f>
        <v>0</v>
      </c>
      <c r="I475" s="16">
        <f ca="1">SUM(I472:I474)</f>
        <v>0</v>
      </c>
      <c r="J475" s="15"/>
    </row>
    <row r="476" ht="13.35" customHeight="true"/>
    <row r="477" ht="12.1" customHeight="true" customFormat="true" s="5">
      <c r="A477" s="17" t="s">
        <v>571</v>
      </c>
      <c r="B477" s="17"/>
      <c r="C477" s="17"/>
      <c r="D477" s="17"/>
      <c r="E477" s="17"/>
      <c r="F477" s="17"/>
      <c r="G477" s="17"/>
      <c r="H477" s="17"/>
      <c r="I477" s="17"/>
      <c r="J477" s="17"/>
    </row>
    <row r="478" ht="52.35" customHeight="true" customFormat="true" s="8">
      <c r="A478" s="9">
        <v>44356</v>
      </c>
      <c r="B478" s="10" t="s">
        <v>36</v>
      </c>
      <c r="C478" s="19" t="s">
        <v>572</v>
      </c>
      <c r="D478" s="10" t="s">
        <v>573</v>
      </c>
      <c r="E478" s="10" t="s">
        <v>16</v>
      </c>
      <c r="F478" s="11">
        <v>0</v>
      </c>
      <c r="G478" s="11">
        <v>1500.0000</v>
      </c>
      <c r="H478" s="11">
        <v>0</v>
      </c>
      <c r="I478" s="11">
        <v>1500.0000</v>
      </c>
      <c r="J478" s="10" t="s">
        <v>17</v>
      </c>
    </row>
    <row r="479" ht="10.95" customHeight="true" customFormat="true" s="8">
      <c r="A479" s="15" t="s">
        <v>574</v>
      </c>
      <c r="B479" s="15"/>
      <c r="C479" s="15"/>
      <c r="D479" s="15"/>
      <c r="E479" s="15"/>
      <c r="F479" s="16">
        <f ca="1">F478</f>
        <v>0</v>
      </c>
      <c r="G479" s="16">
        <f ca="1">G478</f>
        <v>0</v>
      </c>
      <c r="H479" s="16">
        <f ca="1">H478</f>
        <v>0</v>
      </c>
      <c r="I479" s="16">
        <f ca="1">I478</f>
        <v>0</v>
      </c>
      <c r="J479" s="15"/>
    </row>
    <row r="480" ht="13.35" customHeight="true"/>
    <row r="481" ht="12.1" customHeight="true" customFormat="true" s="5">
      <c r="A481" s="17" t="s">
        <v>575</v>
      </c>
      <c r="B481" s="17"/>
      <c r="C481" s="17"/>
      <c r="D481" s="17"/>
      <c r="E481" s="17"/>
      <c r="F481" s="17"/>
      <c r="G481" s="17"/>
      <c r="H481" s="17"/>
      <c r="I481" s="17"/>
      <c r="J481" s="17"/>
    </row>
    <row r="482" ht="10.95" customHeight="true" customFormat="true" s="8">
      <c r="A482" s="9">
        <v>46112</v>
      </c>
      <c r="B482" s="10" t="s">
        <v>36</v>
      </c>
      <c r="C482" s="10" t="s">
        <v>576</v>
      </c>
      <c r="D482" s="10" t="s">
        <v>577</v>
      </c>
      <c r="E482" s="10" t="s">
        <v>16</v>
      </c>
      <c r="F482" s="11">
        <v>0</v>
      </c>
      <c r="G482" s="11">
        <v>18463.0000</v>
      </c>
      <c r="H482" s="11">
        <v>0</v>
      </c>
      <c r="I482" s="11">
        <v>18463.0000</v>
      </c>
      <c r="J482" s="10" t="s">
        <v>31</v>
      </c>
    </row>
    <row r="483" ht="10.95" customHeight="true" customFormat="true" s="8">
      <c r="A483" s="15" t="s">
        <v>578</v>
      </c>
      <c r="B483" s="15"/>
      <c r="C483" s="15"/>
      <c r="D483" s="15"/>
      <c r="E483" s="15"/>
      <c r="F483" s="16">
        <f ca="1">F482</f>
        <v>0</v>
      </c>
      <c r="G483" s="16">
        <f ca="1">G482</f>
        <v>0</v>
      </c>
      <c r="H483" s="16">
        <f ca="1">H482</f>
        <v>0</v>
      </c>
      <c r="I483" s="16">
        <f ca="1">I482</f>
        <v>0</v>
      </c>
      <c r="J483" s="15"/>
    </row>
    <row r="484" ht="13.35" customHeight="true"/>
    <row r="485" ht="12.1" customHeight="true" customFormat="true" s="5">
      <c r="A485" s="17" t="s">
        <v>579</v>
      </c>
      <c r="B485" s="17"/>
      <c r="C485" s="17"/>
      <c r="D485" s="17"/>
      <c r="E485" s="17"/>
      <c r="F485" s="17"/>
      <c r="G485" s="17"/>
      <c r="H485" s="17"/>
      <c r="I485" s="17"/>
      <c r="J485" s="17"/>
    </row>
    <row r="486" ht="10.95" customHeight="true" customFormat="true" s="8">
      <c r="A486" s="9">
        <v>45320</v>
      </c>
      <c r="B486" s="10" t="s">
        <v>153</v>
      </c>
      <c r="C486" s="10" t="s">
        <v>579</v>
      </c>
      <c r="D486" s="10"/>
      <c r="E486" s="10" t="s">
        <v>16</v>
      </c>
      <c r="F486" s="11">
        <v>0</v>
      </c>
      <c r="G486" s="11">
        <v>11.9200</v>
      </c>
      <c r="H486" s="11">
        <v>0</v>
      </c>
      <c r="I486" s="11">
        <v>11.9200</v>
      </c>
      <c r="J486" s="10" t="s">
        <v>56</v>
      </c>
    </row>
    <row r="487" ht="10.95" customHeight="true" customFormat="true" s="8">
      <c r="A487" s="15" t="s">
        <v>580</v>
      </c>
      <c r="B487" s="15"/>
      <c r="C487" s="15"/>
      <c r="D487" s="15"/>
      <c r="E487" s="15"/>
      <c r="F487" s="16">
        <f ca="1">F486</f>
        <v>0</v>
      </c>
      <c r="G487" s="16">
        <f ca="1">G486</f>
        <v>0</v>
      </c>
      <c r="H487" s="16">
        <f ca="1">H486</f>
        <v>0</v>
      </c>
      <c r="I487" s="16">
        <f ca="1">I486</f>
        <v>0</v>
      </c>
      <c r="J487" s="15"/>
    </row>
    <row r="488" ht="13.35" customHeight="true"/>
    <row r="489" ht="12.1" customHeight="true" customFormat="true" s="5">
      <c r="A489" s="17" t="s">
        <v>581</v>
      </c>
      <c r="B489" s="17"/>
      <c r="C489" s="17"/>
      <c r="D489" s="17"/>
      <c r="E489" s="17"/>
      <c r="F489" s="17"/>
      <c r="G489" s="17"/>
      <c r="H489" s="17"/>
      <c r="I489" s="17"/>
      <c r="J489" s="17"/>
    </row>
    <row r="490" ht="31.65" customHeight="true" customFormat="true" s="8">
      <c r="A490" s="9">
        <v>44515</v>
      </c>
      <c r="B490" s="10" t="s">
        <v>36</v>
      </c>
      <c r="C490" s="19" t="s">
        <v>582</v>
      </c>
      <c r="D490" s="10" t="s">
        <v>583</v>
      </c>
      <c r="E490" s="10" t="s">
        <v>16</v>
      </c>
      <c r="F490" s="11">
        <v>0</v>
      </c>
      <c r="G490" s="11">
        <v>1102.6700</v>
      </c>
      <c r="H490" s="11">
        <v>0</v>
      </c>
      <c r="I490" s="11">
        <v>1102.6700</v>
      </c>
      <c r="J490" s="10" t="s">
        <v>31</v>
      </c>
    </row>
    <row r="491" ht="31.65" customHeight="true" customFormat="true" s="8">
      <c r="A491" s="12">
        <v>44515</v>
      </c>
      <c r="B491" s="13" t="s">
        <v>36</v>
      </c>
      <c r="C491" s="18" t="s">
        <v>584</v>
      </c>
      <c r="D491" s="13" t="s">
        <v>583</v>
      </c>
      <c r="E491" s="13" t="s">
        <v>16</v>
      </c>
      <c r="F491" s="14">
        <v>0</v>
      </c>
      <c r="G491" s="14">
        <v>1357.1400</v>
      </c>
      <c r="H491" s="14">
        <v>0</v>
      </c>
      <c r="I491" s="14">
        <v>1357.1400</v>
      </c>
      <c r="J491" s="13" t="s">
        <v>40</v>
      </c>
    </row>
    <row r="492" ht="10.95" customHeight="true" customFormat="true" s="8">
      <c r="A492" s="12">
        <v>44515</v>
      </c>
      <c r="B492" s="13" t="s">
        <v>36</v>
      </c>
      <c r="C492" s="13" t="s">
        <v>585</v>
      </c>
      <c r="D492" s="13" t="s">
        <v>583</v>
      </c>
      <c r="E492" s="13" t="s">
        <v>16</v>
      </c>
      <c r="F492" s="14">
        <v>0</v>
      </c>
      <c r="G492" s="14">
        <v>135.7200</v>
      </c>
      <c r="H492" s="14">
        <v>0</v>
      </c>
      <c r="I492" s="14">
        <v>135.7200</v>
      </c>
      <c r="J492" s="13" t="s">
        <v>31</v>
      </c>
    </row>
    <row r="493" ht="42" customHeight="true" customFormat="true" s="8">
      <c r="A493" s="12">
        <v>44515</v>
      </c>
      <c r="B493" s="13" t="s">
        <v>36</v>
      </c>
      <c r="C493" s="18" t="s">
        <v>586</v>
      </c>
      <c r="D493" s="13" t="s">
        <v>583</v>
      </c>
      <c r="E493" s="13" t="s">
        <v>16</v>
      </c>
      <c r="F493" s="14">
        <v>0</v>
      </c>
      <c r="G493" s="14">
        <v>237.5000</v>
      </c>
      <c r="H493" s="14">
        <v>0</v>
      </c>
      <c r="I493" s="14">
        <v>237.5000</v>
      </c>
      <c r="J493" s="13" t="s">
        <v>17</v>
      </c>
    </row>
    <row r="494" ht="31.65" customHeight="true" customFormat="true" s="8">
      <c r="A494" s="12">
        <v>44515</v>
      </c>
      <c r="B494" s="13" t="s">
        <v>36</v>
      </c>
      <c r="C494" s="18" t="s">
        <v>587</v>
      </c>
      <c r="D494" s="13" t="s">
        <v>583</v>
      </c>
      <c r="E494" s="13" t="s">
        <v>16</v>
      </c>
      <c r="F494" s="14">
        <v>0</v>
      </c>
      <c r="G494" s="14">
        <v>190.0000</v>
      </c>
      <c r="H494" s="14">
        <v>0</v>
      </c>
      <c r="I494" s="14">
        <v>190.0000</v>
      </c>
      <c r="J494" s="13" t="s">
        <v>40</v>
      </c>
    </row>
    <row r="495" ht="73.05" customHeight="true" customFormat="true" s="8">
      <c r="A495" s="12">
        <v>44515</v>
      </c>
      <c r="B495" s="13" t="s">
        <v>36</v>
      </c>
      <c r="C495" s="18" t="s">
        <v>588</v>
      </c>
      <c r="D495" s="13" t="s">
        <v>583</v>
      </c>
      <c r="E495" s="13" t="s">
        <v>16</v>
      </c>
      <c r="F495" s="14">
        <v>0</v>
      </c>
      <c r="G495" s="14">
        <v>12825.0000</v>
      </c>
      <c r="H495" s="14">
        <v>0</v>
      </c>
      <c r="I495" s="14">
        <v>12825.0000</v>
      </c>
      <c r="J495" s="13" t="s">
        <v>17</v>
      </c>
    </row>
    <row r="496" ht="31.65" customHeight="true" customFormat="true" s="8">
      <c r="A496" s="12">
        <v>44515</v>
      </c>
      <c r="B496" s="13" t="s">
        <v>36</v>
      </c>
      <c r="C496" s="18" t="s">
        <v>589</v>
      </c>
      <c r="D496" s="13" t="s">
        <v>583</v>
      </c>
      <c r="E496" s="13" t="s">
        <v>16</v>
      </c>
      <c r="F496" s="14">
        <v>0</v>
      </c>
      <c r="G496" s="14">
        <v>1852.5000</v>
      </c>
      <c r="H496" s="14">
        <v>0</v>
      </c>
      <c r="I496" s="14">
        <v>1852.5000</v>
      </c>
      <c r="J496" s="13" t="s">
        <v>40</v>
      </c>
    </row>
    <row r="497" ht="31.65" customHeight="true" customFormat="true" s="8">
      <c r="A497" s="12">
        <v>44515</v>
      </c>
      <c r="B497" s="13" t="s">
        <v>36</v>
      </c>
      <c r="C497" s="18" t="s">
        <v>590</v>
      </c>
      <c r="D497" s="13" t="s">
        <v>583</v>
      </c>
      <c r="E497" s="13" t="s">
        <v>16</v>
      </c>
      <c r="F497" s="14">
        <v>0</v>
      </c>
      <c r="G497" s="14">
        <v>592.8000</v>
      </c>
      <c r="H497" s="14">
        <v>0</v>
      </c>
      <c r="I497" s="14">
        <v>592.8000</v>
      </c>
      <c r="J497" s="13" t="s">
        <v>40</v>
      </c>
    </row>
    <row r="498" ht="42" customHeight="true" customFormat="true" s="8">
      <c r="A498" s="12">
        <v>44515</v>
      </c>
      <c r="B498" s="13" t="s">
        <v>36</v>
      </c>
      <c r="C498" s="18" t="s">
        <v>591</v>
      </c>
      <c r="D498" s="13" t="s">
        <v>583</v>
      </c>
      <c r="E498" s="13" t="s">
        <v>16</v>
      </c>
      <c r="F498" s="14">
        <v>0</v>
      </c>
      <c r="G498" s="14">
        <v>2375.0000</v>
      </c>
      <c r="H498" s="14">
        <v>0</v>
      </c>
      <c r="I498" s="14">
        <v>2375.0000</v>
      </c>
      <c r="J498" s="13" t="s">
        <v>40</v>
      </c>
    </row>
    <row r="499" ht="31.65" customHeight="true" customFormat="true" s="8">
      <c r="A499" s="12">
        <v>44515</v>
      </c>
      <c r="B499" s="13" t="s">
        <v>36</v>
      </c>
      <c r="C499" s="18" t="s">
        <v>592</v>
      </c>
      <c r="D499" s="13" t="s">
        <v>583</v>
      </c>
      <c r="E499" s="13" t="s">
        <v>16</v>
      </c>
      <c r="F499" s="14">
        <v>0</v>
      </c>
      <c r="G499" s="14">
        <v>570.0000</v>
      </c>
      <c r="H499" s="14">
        <v>0</v>
      </c>
      <c r="I499" s="14">
        <v>570.0000</v>
      </c>
      <c r="J499" s="13" t="s">
        <v>40</v>
      </c>
    </row>
    <row r="500" ht="10.95" customHeight="true" customFormat="true" s="8">
      <c r="A500" s="12">
        <v>44515</v>
      </c>
      <c r="B500" s="13" t="s">
        <v>36</v>
      </c>
      <c r="C500" s="13" t="s">
        <v>593</v>
      </c>
      <c r="D500" s="13" t="s">
        <v>583</v>
      </c>
      <c r="E500" s="13" t="s">
        <v>16</v>
      </c>
      <c r="F500" s="14">
        <v>0</v>
      </c>
      <c r="G500" s="14">
        <v>921.5000</v>
      </c>
      <c r="H500" s="14">
        <v>0</v>
      </c>
      <c r="I500" s="14">
        <v>921.5000</v>
      </c>
      <c r="J500" s="13" t="s">
        <v>17</v>
      </c>
    </row>
    <row r="501" ht="10.95" customHeight="true" customFormat="true" s="8">
      <c r="A501" s="12">
        <v>44685</v>
      </c>
      <c r="B501" s="13" t="s">
        <v>36</v>
      </c>
      <c r="C501" s="13" t="s">
        <v>594</v>
      </c>
      <c r="D501" s="13" t="s">
        <v>595</v>
      </c>
      <c r="E501" s="13" t="s">
        <v>16</v>
      </c>
      <c r="F501" s="14">
        <v>0</v>
      </c>
      <c r="G501" s="14">
        <v>11410.0000</v>
      </c>
      <c r="H501" s="14">
        <v>0</v>
      </c>
      <c r="I501" s="14">
        <v>11410.0000</v>
      </c>
      <c r="J501" s="13" t="s">
        <v>40</v>
      </c>
    </row>
    <row r="502" ht="10.95" customHeight="true" customFormat="true" s="8">
      <c r="A502" s="15" t="s">
        <v>596</v>
      </c>
      <c r="B502" s="15"/>
      <c r="C502" s="15"/>
      <c r="D502" s="15"/>
      <c r="E502" s="15"/>
      <c r="F502" s="16">
        <f ca="1">SUM(F490:F501)</f>
        <v>0</v>
      </c>
      <c r="G502" s="16">
        <f ca="1">SUM(G490:G501)</f>
        <v>0</v>
      </c>
      <c r="H502" s="16">
        <f ca="1">SUM(H490:H501)</f>
        <v>0</v>
      </c>
      <c r="I502" s="16">
        <f ca="1">SUM(I490:I501)</f>
        <v>0</v>
      </c>
      <c r="J502" s="15"/>
    </row>
    <row r="503" ht="13.35" customHeight="true"/>
    <row r="504" ht="10.95" customHeight="true" customFormat="true" s="8">
      <c r="A504" s="20" t="s">
        <v>34</v>
      </c>
      <c r="B504" s="20"/>
      <c r="C504" s="20"/>
      <c r="D504" s="20"/>
      <c r="E504" s="20"/>
      <c r="F504" s="20"/>
      <c r="G504" s="20"/>
      <c r="H504" s="21">
        <f ca="1">SUM(H15,H57,H90,H98,H256,H262,H269,H289,H306,H310,H314,H322,H346,H352,H357,H385,H390,H422,H435,H452,H460,H469,H475,H479,H483,H487,H502)</f>
        <v>0</v>
      </c>
      <c r="I504" s="21">
        <f ca="1">SUM(I15,I57,I90,I98,I256,I262,I269,I289,I306,I310,I314,I322,I346,I352,I357,I385,I390,I422,I435,I452,I460,I469,I475,I479,I483,I487,I502)</f>
        <v>0</v>
      </c>
      <c r="J504" s="20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