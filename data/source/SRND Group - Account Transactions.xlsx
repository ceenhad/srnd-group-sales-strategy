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Account Transactions" sheetId="1" r:id="rId1"/>
  </sheets>
  <calcPr calcId="162913"/>
</workbook>
</file>

<file path=xl/sharedStrings.xml><?xml version="1.0" encoding="utf-8"?>
<sst xmlns="http://schemas.openxmlformats.org/spreadsheetml/2006/main" count="1338" uniqueCount="1338">
  <si>
    <t>Account Transactions</t>
  </si>
  <si>
    <t>SRND Group Ltd</t>
  </si>
  <si>
    <t>For the period 1 January 2020 to 31 August 2026</t>
  </si>
  <si>
    <t>Date</t>
  </si>
  <si>
    <t>Source</t>
  </si>
  <si>
    <t>Description</t>
  </si>
  <si>
    <t>Reference</t>
  </si>
  <si>
    <t>Currency</t>
  </si>
  <si>
    <t>Debit (Source)</t>
  </si>
  <si>
    <t>Credit (Source)</t>
  </si>
  <si>
    <t>Debit (GBP)</t>
  </si>
  <si>
    <t>Credit (GBP)</t>
  </si>
  <si>
    <t>Account</t>
  </si>
  <si>
    <t>Manual Journal</t>
  </si>
  <si>
    <t>2025 - 2025 - Cash In Advance re. Invoice #SR241161 (Needle)</t>
  </si>
  <si>
    <t>#4861</t>
  </si>
  <si>
    <t>GBP</t>
  </si>
  <si>
    <t>Sales - Materials - Projectors</t>
  </si>
  <si>
    <t>Sales - Materials - Projector Mounts</t>
  </si>
  <si>
    <t>Sales - Services - On Site Services</t>
  </si>
  <si>
    <t>Sales - Materials - Projection Screens</t>
  </si>
  <si>
    <t>2025 - 2025 - Cash In Advance re. Invoice #SR241147 (Zagar)</t>
  </si>
  <si>
    <t>2025 - 2025 - Cash In Advance re. Invoice #SR241151 (Biggs)</t>
  </si>
  <si>
    <t>Sales - Materials - Metal Fabric Track</t>
  </si>
  <si>
    <t>Sales - Services - Project Design</t>
  </si>
  <si>
    <t>2025 - 2025 - Cash In Advance re. Invoice #SR241147 (Upton)</t>
  </si>
  <si>
    <t>2025 - 2025 - Work In Progress (Email Conv 31-12-25)</t>
  </si>
  <si>
    <t>Sales</t>
  </si>
  <si>
    <t>2025 - Reversal - 2025 - Cash In Advance re. Invoice #SR241161 (Needle)</t>
  </si>
  <si>
    <t>#4863</t>
  </si>
  <si>
    <t>2025 - Reversal - 2025 - Cash In Advance re. Invoice #SR241147 (Zagar)</t>
  </si>
  <si>
    <t>2025 - Reversal - 2025 - Cash In Advance re. Invoice #SR241151 (Biggs)</t>
  </si>
  <si>
    <t>2025 - Reversal - 2025 - Cash In Advance re. Invoice #SR241147 (Upton)</t>
  </si>
  <si>
    <t>2025 - Reversal - 2025 - Reverse WIP (Email Conv 31-12-25)</t>
  </si>
  <si>
    <t>Total</t>
  </si>
  <si>
    <t>5V / AV Concept Products</t>
  </si>
  <si>
    <t>Receivable Invoice</t>
  </si>
  <si>
    <t>5V / AV Concept Products - Projector Port Hole (Single Glazed)</t>
  </si>
  <si>
    <t>#SR241083</t>
  </si>
  <si>
    <t>5V / AV Concept Products - Fabric Walls Tool - Set</t>
  </si>
  <si>
    <t>#SR241084</t>
  </si>
  <si>
    <t>Sales - Materials - Plastic Fabric Track</t>
  </si>
  <si>
    <t>5V / AV Concept Products - Fabric Walls Tool - Rocker</t>
  </si>
  <si>
    <t>5V / AV Concept Products - Fabric Walls Tool - Bent Blade</t>
  </si>
  <si>
    <t>5V / AV Concept Products - Projector Port Hole Small (Single Glazed)</t>
  </si>
  <si>
    <t>#SR241167</t>
  </si>
  <si>
    <t>SRND Store Sales</t>
  </si>
  <si>
    <t>#SR241233</t>
  </si>
  <si>
    <t>Total 5V / AV Concept Products</t>
  </si>
  <si>
    <t>Absolute Acoustics</t>
  </si>
  <si>
    <t>Absolute Acoustics - Fabric Walls Tool - Rocker</t>
  </si>
  <si>
    <t>#SR241044</t>
  </si>
  <si>
    <t>Total Absolute Acoustics</t>
  </si>
  <si>
    <t>Adair Acoustic Design</t>
  </si>
  <si>
    <t>Adair Acoustic Design - Mad VR Envy Core</t>
  </si>
  <si>
    <t>#SR241126</t>
  </si>
  <si>
    <t>Adair Acoustic Design - MADVR Envy Core premium licence</t>
  </si>
  <si>
    <t>#SR241176</t>
  </si>
  <si>
    <t>Adair Acoustic Design - Ceiling Mount</t>
  </si>
  <si>
    <t>#SR241179</t>
  </si>
  <si>
    <t>Adair Acoustic Design - DT-DYN2TB-2400-1.78-IS-ATREF</t>
  </si>
  <si>
    <t>Adair Acoustic Design - Frontier - (D#5FZUFE7)</t>
  </si>
  <si>
    <t>#SR241210</t>
  </si>
  <si>
    <t>Adair Acoustic Design - Heimdall Cinema Projector</t>
  </si>
  <si>
    <t>#SR241218</t>
  </si>
  <si>
    <t>Adair Acoustic Design - BARCO EN64 - High Performance - Long Throw Zoom Lens option (2.5 ‑ 4.6)</t>
  </si>
  <si>
    <t>Adair Acoustic Design - Projector Port Hole Small (Single Glazed)</t>
  </si>
  <si>
    <t>#SR241342</t>
  </si>
  <si>
    <t>Total Adair Acoustic Design</t>
  </si>
  <si>
    <t>Ahmed Marafi</t>
  </si>
  <si>
    <t>Ahmed Marafi - Mad VR Envy Core</t>
  </si>
  <si>
    <t>#SR241113</t>
  </si>
  <si>
    <t>Receivable Credit Note</t>
  </si>
  <si>
    <t>Ahmed Marafi - Shipping refund</t>
  </si>
  <si>
    <t>Total Ahmed Marafi</t>
  </si>
  <si>
    <t>Alexander McCaffrey</t>
  </si>
  <si>
    <t>Alexander McCaffrey - 50MOTD Fabric Track - 10</t>
  </si>
  <si>
    <t>#SR241373</t>
  </si>
  <si>
    <t>Alexander McCaffrey - 50MOCL Fabric Track - 10</t>
  </si>
  <si>
    <t>Total Alexander McCaffrey</t>
  </si>
  <si>
    <t>Aloud AB</t>
  </si>
  <si>
    <t>Aloud AB - Dynamic Masking Screen - Tension Bands</t>
  </si>
  <si>
    <t>#SR241110</t>
  </si>
  <si>
    <t>Total Aloud AB</t>
  </si>
  <si>
    <t>Aluma Tech ltd</t>
  </si>
  <si>
    <t>Aluma Tech ltd - Ultrasuede XL 1509 Cameo large sample</t>
  </si>
  <si>
    <t>#SR241295</t>
  </si>
  <si>
    <t>Aluma Tech ltd - DT-MASK-2S-165-ATS</t>
  </si>
  <si>
    <t>#SR241311</t>
  </si>
  <si>
    <t>Aluma Tech ltd - Projector Port Hole (Single Glazed)</t>
  </si>
  <si>
    <t>Aluma Tech ltd - FW frame - RAL 1015 - Ultrasuede XL Cameo - 942x2460mm</t>
  </si>
  <si>
    <t>Aluma Tech ltd - FW frame - RAL 1015 - Ultrasuede XL Cameo - 561x899mm</t>
  </si>
  <si>
    <t>Aluma Tech ltd - FW frame - RAL 1015 - Ultrasuede XL Cameo - 561x1000mm</t>
  </si>
  <si>
    <t>Aluma Tech ltd - FW frame - RAL 1015 - Ultrasuede XL Cameo - 665x2530mm</t>
  </si>
  <si>
    <t>Aluma Tech ltd - FW frame - RAL 1015 - Ultrasuede XL Cameo - 9665x2930mm</t>
  </si>
  <si>
    <t>Aluma Tech ltd - FW frame - RAL 1015 - Ultrasuede XL Cameo - 620x2040mm</t>
  </si>
  <si>
    <t>Aluma Tech ltd - FW frame - RAL 1015 - Ultrasuede XL Cameo - 4700x490mm</t>
  </si>
  <si>
    <t>Aluma Tech ltd - FW frame - RAL 1015 - Ultrasuede XL Cameo - 275x1866mm</t>
  </si>
  <si>
    <t>Aluma Tech ltd - FW frame - RAL 1015 - Ultrasuede XL Cameo - 4860x382mm</t>
  </si>
  <si>
    <t>Aluma Tech ltd - FW frame - RAL 1015 - Ultrasuede XL Cameo - 4860x682mm</t>
  </si>
  <si>
    <t>Aluma Tech ltd - FW frame - RAL 1015 - Ultrasuede XL Cameo - 1085x4555mm</t>
  </si>
  <si>
    <t>Aluma Tech ltd - 35x35 surface mount LED profile - Opal diffuser - up to 3m</t>
  </si>
  <si>
    <t>Aluma Tech ltd - RAL 1015 colour matching for LED profiles</t>
  </si>
  <si>
    <t>#SR241334</t>
  </si>
  <si>
    <t>Total Aluma Tech ltd</t>
  </si>
  <si>
    <t>Amplified Lifestyles LLC</t>
  </si>
  <si>
    <t>Amplified Lifestyles LLC - Projector Port Hole (Single Glazed)</t>
  </si>
  <si>
    <t>#SR241344</t>
  </si>
  <si>
    <t>Amplified Lifestyles LLC - Custom colour RAL#T243-GR522</t>
  </si>
  <si>
    <t>Amplified Lifestyles LLC - Vertical Projector Mirror Mount</t>
  </si>
  <si>
    <t>#SR241350</t>
  </si>
  <si>
    <t>Total Amplified Lifestyles LLC</t>
  </si>
  <si>
    <t>Amy Thiroff</t>
  </si>
  <si>
    <t>Amy Thiroff - Projector Port Hole (Double Glazed)</t>
  </si>
  <si>
    <t>#SR241050</t>
  </si>
  <si>
    <t>Amy Thiroff - RAL 5009 colour</t>
  </si>
  <si>
    <t>Total Amy Thiroff</t>
  </si>
  <si>
    <t>Andrzej Gratkowski</t>
  </si>
  <si>
    <t>Andrzej Gratkowski - Motorised Mirror Drop</t>
  </si>
  <si>
    <t>#SR241035</t>
  </si>
  <si>
    <t>Total Andrzej Gratkowski</t>
  </si>
  <si>
    <t>Apex Tech Scotland Ltd / Apex-Tech UK</t>
  </si>
  <si>
    <t>Payable Invoice</t>
  </si>
  <si>
    <t>Apex Tech Scotland Ltd / Apex-Tech UK - Mad VR Envy Extreme - HDMI 2.0 video processor with single processed HDMI input and Output and single bypass output. AI powered dynamic tone mapping, scaling, deinterlacing and advanced calibration functions up to 8K60</t>
  </si>
  <si>
    <t>INV-2024/2064</t>
  </si>
  <si>
    <t>Sales - Materials - Video Processors</t>
  </si>
  <si>
    <t>Apex Tech Scotland Ltd / Apex-Tech UK - Demo Discount</t>
  </si>
  <si>
    <t>Total Apex Tech Scotland Ltd / Apex-Tech UK</t>
  </si>
  <si>
    <t>Apex Technologies USA LLC</t>
  </si>
  <si>
    <t>Apex Technologies USA LLC - Pixel LED Tape - 12v RGBW</t>
  </si>
  <si>
    <t>#SR241054</t>
  </si>
  <si>
    <t>Apex Technologies USA LLC - Pixel LED Tape - 12v RGBW - SRND Store Pixel LED Tape - 12v RGBW LW-LP-LED-12V-RGBW</t>
  </si>
  <si>
    <t>#SR241106</t>
  </si>
  <si>
    <t>Apex Technologies USA LLC - HDMI to USB vLight Interface</t>
  </si>
  <si>
    <t>Apex Technologies USA LLC - Aura Flex AT (Diffusion Fabric)</t>
  </si>
  <si>
    <t>#SR241111</t>
  </si>
  <si>
    <t>Apex Technologies USA LLC - LW-LP-LED- 12V-RGBW RGBW 60/20 LEDs M 12V 5M - 300 LEDs</t>
  </si>
  <si>
    <t>#SR241134</t>
  </si>
  <si>
    <t>Sales - Materials - LED Tape</t>
  </si>
  <si>
    <t>Apex Technologies USA LLC - LWCH-USBVLIGHT HDMI to USB vLight Interface</t>
  </si>
  <si>
    <t>Sales - Materials - LED Control and Power</t>
  </si>
  <si>
    <t>#SR241220</t>
  </si>
  <si>
    <t>Total Apex Technologies USA LLC</t>
  </si>
  <si>
    <t>AV Daksma</t>
  </si>
  <si>
    <t>AV Daksma - Aluminium Fabric Frame - (D#GMDCEA6)</t>
  </si>
  <si>
    <t>#SR241170</t>
  </si>
  <si>
    <t>AV Daksma - Aluminium Fabric Frame - (D#OJ642FH)</t>
  </si>
  <si>
    <t>AV Daksma - Aluminium Fabric frame with hinges - 430x2066 - Blazer Lite Haven</t>
  </si>
  <si>
    <t>AV Daksma - Cinema Interior - Busan - (D#QS9FG5Y)</t>
  </si>
  <si>
    <t>#SR241186</t>
  </si>
  <si>
    <t>AV Daksma - Enhanced Cinema Interior Design Package</t>
  </si>
  <si>
    <t>AV Daksma - PixLite® A4-S Mk3</t>
  </si>
  <si>
    <t>AV Daksma - Extra fabric and LED lines</t>
  </si>
  <si>
    <t>Total AV Daksma</t>
  </si>
  <si>
    <t>Barco NV</t>
  </si>
  <si>
    <t>Barco NV - Fabric Walls - Seattle Design Optimised for Cinepodz</t>
  </si>
  <si>
    <t>#SR241263</t>
  </si>
  <si>
    <t>Barco NV - DT-FRNT-3230-190-ATREF - DT Frontier Screen, 3230mm wide visible, 1.9 aspect, ATRef Image Surface</t>
  </si>
  <si>
    <t>Barco NV - C-ATS - 25mm Acoustic Foam Sheet 1m x 1m</t>
  </si>
  <si>
    <t>Total Barco NV</t>
  </si>
  <si>
    <t>Base Ltd t/a Genesis AV</t>
  </si>
  <si>
    <t>Base Ltd t/a Genesis AV - Ceiling Mount</t>
  </si>
  <si>
    <t>#SR241017</t>
  </si>
  <si>
    <t>Base Ltd t/a Genesis AV - Screen upgrade</t>
  </si>
  <si>
    <t>Base Ltd t/a Genesis AV - PixLite® A4-S Mk3</t>
  </si>
  <si>
    <t>#SR241059</t>
  </si>
  <si>
    <t>Base Ltd t/a Genesis AV - Pixel LED Tape - 12v RGBW</t>
  </si>
  <si>
    <t>Base Ltd t/a Genesis AV - Recessed LED Channel with Trim - 25mm x 12mm - 2m / Silver / Transparent</t>
  </si>
  <si>
    <t>Sales - Materials - LED Profile</t>
  </si>
  <si>
    <t>Base Ltd t/a Genesis AV - LW-PSU-MW-12V-350W - Meanwell 12V - 350w (UHP-350-12)</t>
  </si>
  <si>
    <t>Base Ltd t/a Genesis AV - End caps (pair)</t>
  </si>
  <si>
    <t>Base Ltd t/a Genesis AV - Mounting brackets (pair)</t>
  </si>
  <si>
    <t>Base Ltd t/a Genesis AV - Straight joint bracket</t>
  </si>
  <si>
    <t>Base Ltd t/a Genesis AV - Angles joint bracket</t>
  </si>
  <si>
    <t>Base Ltd t/a Genesis AV - Fabric Walls Room - New York Style - to include wall and ceiling coverage and lightwalls LED strips - (No woodwork)</t>
  </si>
  <si>
    <t>#SR241190</t>
  </si>
  <si>
    <t>Base Ltd t/a Genesis AV - DT - Screen Wall - Modular Screen Wall Solution</t>
  </si>
  <si>
    <t>Sales - Materials - Screen Walls</t>
  </si>
  <si>
    <t>Base Ltd t/a Genesis AV - DCB Flyte-BK - 5.25-inch Flyte Speaker - Black</t>
  </si>
  <si>
    <t>#SR241215</t>
  </si>
  <si>
    <t>Base Ltd t/a Genesis AV - PT-FLYTE-IW-B</t>
  </si>
  <si>
    <t>Base Ltd t/a Genesis AV - PT-DIW-210</t>
  </si>
  <si>
    <t>Base Ltd t/a Genesis AV - DP4000 IA - DP4000 Intelligent Amplifier</t>
  </si>
  <si>
    <t>#SR241228</t>
  </si>
  <si>
    <t>Base Ltd t/a Genesis AV - 6mm Optical Clear Glass</t>
  </si>
  <si>
    <t>#SR241241</t>
  </si>
  <si>
    <t>#SR241244</t>
  </si>
  <si>
    <t>Base Ltd t/a Genesis AV - LWLM Lighting Content and Control Software -  Up to 12 DMX Universes - Perpetual License</t>
  </si>
  <si>
    <t>Base Ltd t/a Genesis AV - LW-MICRO-SRND - Micro Media Server for Lightwalls - Dual LAN, 16GB RAM</t>
  </si>
  <si>
    <t>Base Ltd t/a Genesis AV - LW-LAYOUT-R - Lightwalls pixel layout for one rectangular room up to 64 DMX Universes</t>
  </si>
  <si>
    <t>Base Ltd t/a Genesis AV - I600-4K8 Projector</t>
  </si>
  <si>
    <t>Base Ltd t/a Genesis AV - ILD6 - Standard Zoom Lens Option (1.40-2.10)</t>
  </si>
  <si>
    <t>Base Ltd t/a Genesis AV - DT-DYN-2S-360-2.4-ATR-230v</t>
  </si>
  <si>
    <t>Base Ltd t/a Genesis AV - BAR-HDL-CC-B - Heimdall Cinemascope Cinema - 4000 lumens, UHD - 2.37 DLP aspect, RGB Laser - Black</t>
  </si>
  <si>
    <t>#SR241355</t>
  </si>
  <si>
    <t>Base Ltd t/a Genesis AV - BAR-FLDX-LENS-S - EN61 - Standard Zoom Lens Option (1.48-2.18) - Adaptor included</t>
  </si>
  <si>
    <t>Base Ltd t/a Genesis AV - REVERBERATION CONTROL PANEL 50mm</t>
  </si>
  <si>
    <t>Base Ltd t/a Genesis AV - Reflection Control Panel</t>
  </si>
  <si>
    <t>Base Ltd t/a Genesis AV - Fabric Walls - Aluminium Frame System - Custom RAL Powder coat Finish 32mm deep frame with mounting hardware. Silicon edge CNC cut Fabric Surface - Camira Blazer Lite Fondness - 1512 x 1523 mm</t>
  </si>
  <si>
    <t>Base Ltd t/a Genesis AV - Fabric Walls - Aluminium Frame System - Custom RAL Powder coat Finish 32mm deep frame with mounting hardware. Silicon edge CNC cut Fabric Surface - Camira Blazer Lite Fondness - 1520 x 1523 mm</t>
  </si>
  <si>
    <t>Base Ltd t/a Genesis AV - Fabric Walls - Aluminium Frame System - Custom RAL Powder coat Finish 32mm deep frame with mounting hardware. Silicon edge CNC cut Fabric Surface - Camira Blazer Lite Fondness - 1526 x 1523 mm</t>
  </si>
  <si>
    <t>Base Ltd t/a Genesis AV - Fabric Walls - Aluminium Frame System - Custom RAL Powder coat Finish 32mm deep frame with mounting hardware. Silicon edge CNC cut Fabric Surface - Camira Blazer Lite Fondness - 1529 x 1522 mm</t>
  </si>
  <si>
    <t>Base Ltd t/a Genesis AV - Fabric Walls - Aluminium Frame System - Custom RAL Powder coat Finish 32mm deep frame with mounting hardware. Silicon edge CNC cut Fabric Surface - Camira Blazer Lite Fondness - 1669 x 1522 mm</t>
  </si>
  <si>
    <t>Base Ltd t/a Genesis AV - Fabric Walls - Aluminium Frame System - Custom RAL Powder coat Finish 32mm deep frame with mounting hardware. Silicon edge CNC cut Fabric Surface - Camira Blazer Lite Fondness - 1510 x 1520 mm</t>
  </si>
  <si>
    <t>Base Ltd t/a Genesis AV - Fabric Walls - Aluminium Frame System - Custom RAL Powder coat Finish 32mm deep frame with mounting hardware. Silicon edge CNC cut Fabric Surface - Camira Blazer Lite Fondness - 1507 x 1522 mm</t>
  </si>
  <si>
    <t>Base Ltd t/a Genesis AV - Fabric Walls - Aluminium Frame System - Custom RAL Powder coat Finish 32mm deep frame with mounting hardware. Silicon edge CNC cut Fabric Surface - Camira Blazer Lite Fondness - 1509 x 1522 mm</t>
  </si>
  <si>
    <t>Base Ltd t/a Genesis AV - Fabric Walls - Aluminium Frame System - Custom RAL Powder coat Finish 32mm deep frame with mounting hardware. Silicon edge CNC cut Fabric Surface - Camira Blazer Lite Fondness - 1523 x 1521 mm</t>
  </si>
  <si>
    <t>Base Ltd t/a Genesis AV - Fabric Walls - Aluminium Frame System - Custom RAL Powder coat Finish 32mm deep frame with mounting hardware. Silicon edge CNC cut Fabric Surface - Camira Blazer Lite Fondness - 1717 x 1524 mm</t>
  </si>
  <si>
    <t>Total Base Ltd t/a Genesis AV</t>
  </si>
  <si>
    <t>Bax-shop.co.uk Ltd</t>
  </si>
  <si>
    <t>Spend Money</t>
  </si>
  <si>
    <t>Bax-shop.co.uk Ltd - Dante Avio Analog Output 0x2
Dante to XLR Adapter</t>
  </si>
  <si>
    <t>Total Bax-shop.co.uk Ltd</t>
  </si>
  <si>
    <t>Boca Tech and Automation</t>
  </si>
  <si>
    <t>Boca Tech and Automation - Cinema Room System - Philadelphia</t>
  </si>
  <si>
    <t>#SR241096</t>
  </si>
  <si>
    <t>Boca Tech and Automation - Enhanced Cinema Interior Design Package</t>
  </si>
  <si>
    <t>Boca Tech and Automation - Reflection Control Panel</t>
  </si>
  <si>
    <t>Sales - Materials - Acoustic Treatment</t>
  </si>
  <si>
    <t>Boca Tech and Automation - REVERBERATION CONTROL PANEL 50mm</t>
  </si>
  <si>
    <t>Boca Tech and Automation - Import Duties</t>
  </si>
  <si>
    <t>Other Revenue</t>
  </si>
  <si>
    <t>Total Boca Tech and Automation</t>
  </si>
  <si>
    <t>Build Station LLC.</t>
  </si>
  <si>
    <t>Build Station LLC. - 20MOTD Fabric Track - 10</t>
  </si>
  <si>
    <t>#SR241129</t>
  </si>
  <si>
    <t>Build Station LLC. - 20MOCL Fabric Track - 10</t>
  </si>
  <si>
    <t>Build Station LLC. - Fabric Walls Tool - Set</t>
  </si>
  <si>
    <t>Build Station LLC. - Reflection Control Panel</t>
  </si>
  <si>
    <t>Build Station LLC. - REVERBERATION CONTROL PANEL 50mm</t>
  </si>
  <si>
    <t>#SR241178</t>
  </si>
  <si>
    <t>Total Build Station LLC.</t>
  </si>
  <si>
    <t>Ciaran Wilkins</t>
  </si>
  <si>
    <t>Ciaran Wilkins - Fabric Walls Tool - Bent Blade</t>
  </si>
  <si>
    <t>#SR241191</t>
  </si>
  <si>
    <t>Total Ciaran Wilkins</t>
  </si>
  <si>
    <t>Cinema Acoustic Treatment Systems Limited</t>
  </si>
  <si>
    <t>Cinema Acoustic Treatment Systems Limited - C-ATS Reverberation Control Panel - 50mm</t>
  </si>
  <si>
    <t>INV-0165</t>
  </si>
  <si>
    <t>Cinema Acoustic Treatment Systems Limited - C-ATS Reflection Control Panel - 50mm</t>
  </si>
  <si>
    <t>Total Cinema Acoustic Treatment Systems Limited</t>
  </si>
  <si>
    <t>Cinema Design, s.r.o.</t>
  </si>
  <si>
    <t>Cinema Design, s.r.o. - Fabric wall panel behind display, 2700 x 1200mm, camira Blazer Lite</t>
  </si>
  <si>
    <t>#SR241025</t>
  </si>
  <si>
    <t>Cinema Design, s.r.o. - Denver Panel with wood slats and dynamic LED profiles, 3000 x 900mm</t>
  </si>
  <si>
    <t>Cinema Design, s.r.o. - Advatek PixLite A4-S</t>
  </si>
  <si>
    <t>Cinema Design, s.r.o. - madVR Envy Pro MK2</t>
  </si>
  <si>
    <t>#SR241024</t>
  </si>
  <si>
    <t>Cinema Design, s.r.o. - PixLite® A4-S Mk3</t>
  </si>
  <si>
    <t>#SR241302</t>
  </si>
  <si>
    <t>Cinema Design, s.r.o. - Pixel LED Tape - 12v RGBW</t>
  </si>
  <si>
    <t>Cinema Design, s.r.o. - Surface Mount 35mm x 35mm LED Profile - 2m / Black / Black</t>
  </si>
  <si>
    <t>Total Cinema Design, s.r.o.</t>
  </si>
  <si>
    <t>Cinema Solutions by JASE</t>
  </si>
  <si>
    <t>Cinema Solutions by JASE - Vertical Projector Mirror Mount</t>
  </si>
  <si>
    <t>#SR241306</t>
  </si>
  <si>
    <t>Total Cinema Solutions by JASE</t>
  </si>
  <si>
    <t>Cinemas &amp; Control Ltd</t>
  </si>
  <si>
    <t>Cinemas &amp; Control Ltd - madVR Envy Pro MK2</t>
  </si>
  <si>
    <t>#SR241048</t>
  </si>
  <si>
    <t>Total Cinemas &amp; Control Ltd</t>
  </si>
  <si>
    <t>Clarke Infinity Ltd</t>
  </si>
  <si>
    <t>Clarke Infinity Ltd - Projector Port Hole Small (Single Glazed)</t>
  </si>
  <si>
    <t>#SR241177</t>
  </si>
  <si>
    <t>Total Clarke Infinity Ltd</t>
  </si>
  <si>
    <t>Clever and Simple</t>
  </si>
  <si>
    <t>Clever and Simple - Wooden Backbox 12 - Compact</t>
  </si>
  <si>
    <t>#SR241033</t>
  </si>
  <si>
    <t>Sales - Materials - Speakers</t>
  </si>
  <si>
    <t>Clever and Simple - STH-LR6G – COMPACT FORMAT 2 WAY INVISIBLE SPEAKER - PAIR</t>
  </si>
  <si>
    <t>#SR241034</t>
  </si>
  <si>
    <t>#SR241039</t>
  </si>
  <si>
    <t>Total Clever and Simple</t>
  </si>
  <si>
    <t>Clever Association</t>
  </si>
  <si>
    <t>Clever Association - Set ofTension Bands for Dynamic 2S-AM 4500</t>
  </si>
  <si>
    <t>#SR241089</t>
  </si>
  <si>
    <t>Clever Association - Reflection Control Panel</t>
  </si>
  <si>
    <t>#SR241118</t>
  </si>
  <si>
    <t>Clever Association - REVERBERATION CONTROL PANEL 50mm</t>
  </si>
  <si>
    <t>Total Clever Association</t>
  </si>
  <si>
    <t>clic2control limited</t>
  </si>
  <si>
    <t>clic2control limited - EN66 - Ultra Wide Angle Zoom Lens option (0.80-1.21)</t>
  </si>
  <si>
    <t>#SR241195</t>
  </si>
  <si>
    <t>clic2control limited - Bragi Cinema Cinemascope Projector</t>
  </si>
  <si>
    <t>Total clic2control limited</t>
  </si>
  <si>
    <t>Community UK Limited - T/A CUK Group</t>
  </si>
  <si>
    <t>Community UK Limited - T/A CUK Group - SRND-Screen Wall</t>
  </si>
  <si>
    <t>#SR241056</t>
  </si>
  <si>
    <t>Community UK Limited - T/A CUK Group - Fabric Walls - side, rear and front wall panels. Based on Madrid fin design with six fins and five LED runs across walls and ceiling. Premium fabric. Includes additional metal required</t>
  </si>
  <si>
    <t>Community UK Limited - T/A CUK Group - Fabric Wall panels for ceiling, with six fins. Premium fabric.</t>
  </si>
  <si>
    <t>Community UK Limited - T/A CUK Group - Populated Dynamic LED profile for wall and ceiling panels inc LED hardware - Advatek control box, 5 x 350W PSUs and 100m drum of link cable.</t>
  </si>
  <si>
    <t>Community UK Limited - T/A CUK Group - Brackets for in-wall speakers</t>
  </si>
  <si>
    <t>Community UK Limited - T/A CUK Group - Acoustically transparent Fabric Walls panels in Premium Camira Blazer Chichester. Full aluminium frame system to structure panels off walls.</t>
  </si>
  <si>
    <t>#SR241072</t>
  </si>
  <si>
    <t>Community UK Limited - T/A CUK Group - Screen structural mounting frame.750</t>
  </si>
  <si>
    <t>Community UK Limited - T/A CUK Group - Full wooden panelling with moulded detailing, fitted to frame structure. Including skirting board. Provided in primed finish.</t>
  </si>
  <si>
    <t>Community UK Limited - T/A CUK Group - Wall lights - Josie Gold leaf/Black, complete with wall pattresses for mounting wall lights.</t>
  </si>
  <si>
    <t>Community UK Limited - T/A CUK Group - Low level LED pinhole lights inc dimmable drivers, intergration of fittings in panelling and wiring.</t>
  </si>
  <si>
    <t>Total Community UK Limited - T/A CUK Group</t>
  </si>
  <si>
    <t>Concept Electrical Installations SL</t>
  </si>
  <si>
    <t>Concept Electrical Installations SL - PixLite® A4-S Mk3</t>
  </si>
  <si>
    <t>#SR241164</t>
  </si>
  <si>
    <t>Total Concept Electrical Installations SL</t>
  </si>
  <si>
    <t>Cornflake</t>
  </si>
  <si>
    <t>Sigournney Dean - Barco Balder Cinemascope Cinema Projector - EN63 - Wide Angle Zoom Lens option (1.20-1.70)</t>
  </si>
  <si>
    <t>#SR241042</t>
  </si>
  <si>
    <t>Cornflake - PHG-1-C Glass only 250x300x6mm</t>
  </si>
  <si>
    <t>#SR241069</t>
  </si>
  <si>
    <t>Cornflake - Frontier</t>
  </si>
  <si>
    <t>#SR241087</t>
  </si>
  <si>
    <t>Cornflake - Projector Port Hole (Double Glazed)</t>
  </si>
  <si>
    <t>Cornflake - Reflection Control Panel</t>
  </si>
  <si>
    <t>Cornflake - PHG-1-C glass only 809 x 187mm</t>
  </si>
  <si>
    <t>#SR241108</t>
  </si>
  <si>
    <t>#SR241133</t>
  </si>
  <si>
    <t>Cornflake - REVERBERATION CONTROL PANEL 50mm</t>
  </si>
  <si>
    <t>Cornflake - Mistral-200 Inline Fan</t>
  </si>
  <si>
    <t>Sales - Materials - Airflow</t>
  </si>
  <si>
    <t>Cornflake - Mistral Commander - Fan Controller 2 Zone</t>
  </si>
  <si>
    <t>Cornflake - Hush Box - Medium - Left and Rear (L) / 200mm</t>
  </si>
  <si>
    <t>Sigournney Dean - DT-IS-ATP-300 (image size: 2895mm wide x 1607mm high)</t>
  </si>
  <si>
    <t>#SR241144</t>
  </si>
  <si>
    <t>Sigournney Dean - DT-IS-ATP-330 (image size: 3190mm wide x 1792mm high)</t>
  </si>
  <si>
    <t>Cornflake - Dynamic 2s - Side Masking Screen - (D#I8JQPUG)</t>
  </si>
  <si>
    <t>#SR241168</t>
  </si>
  <si>
    <t>Cornflake - Projector Port Hole (Single Glazed)</t>
  </si>
  <si>
    <t>Cornflake - Dynamic 2S tension bands set of 2</t>
  </si>
  <si>
    <t>#SR241180</t>
  </si>
  <si>
    <t>Cornflake - R7681362K BME K ICMP-X IMB/SDI</t>
  </si>
  <si>
    <t>#SR241194</t>
  </si>
  <si>
    <t>Cornflake - R9802213 DP2K-6E 465W LAMP WITH HOUSING</t>
  </si>
  <si>
    <t>Cornflake - 10915 Installation Support Services (DAY)</t>
  </si>
  <si>
    <t>Cornflake - 10915 Installation Support Services (DAY) - No Restock Item</t>
  </si>
  <si>
    <t>Cornflake - Heimdall Cinemascope Cinema Projector</t>
  </si>
  <si>
    <t>#SR241202</t>
  </si>
  <si>
    <t>Cornflake - EN63 - Wide Angle Zoom Lens option (1.20-1.70)</t>
  </si>
  <si>
    <t>Cornflake - Mad VR Envy Core</t>
  </si>
  <si>
    <t>#SR241239</t>
  </si>
  <si>
    <t>Cornflake - Commissioning Support - SRND Display Products</t>
  </si>
  <si>
    <t>Cornflake - Dynamic 2s - Side Masking Screen - (D#WE2JF10)</t>
  </si>
  <si>
    <t>#SR241255</t>
  </si>
  <si>
    <t>Cornflake - MAG Theatron M12-L</t>
  </si>
  <si>
    <t>Cornflake - MAG Theatron M12-C</t>
  </si>
  <si>
    <t>Cornflake - MAG Theatron M12-R</t>
  </si>
  <si>
    <t>Cornflake - MAG Theatron CS-44 - Black</t>
  </si>
  <si>
    <t>Cornflake - MAG Theatron S6 - Black</t>
  </si>
  <si>
    <t>Cornflake - MAG Theatron CS6 white</t>
  </si>
  <si>
    <t>Cornflake - MAG Theatron Hammer-12</t>
  </si>
  <si>
    <t>Cornflake - MAG Theatron Slim-100 subwoofer</t>
  </si>
  <si>
    <t>Cornflake - Pro-Fi PF-A-16-700D 16 channels amplifier</t>
  </si>
  <si>
    <t>Cornflake - Pro-Fi PF-A-4-350D 4 channels amplifier</t>
  </si>
  <si>
    <t>Cornflake - SRND Reference Audio Calibration Services</t>
  </si>
  <si>
    <t>Cornflake - RESONANCE CONTROL PANEL</t>
  </si>
  <si>
    <t>#SR241260</t>
  </si>
  <si>
    <t>Cornflake - CS6 Custom Isolation Bracket</t>
  </si>
  <si>
    <t>Cornflake - CS44 Custom Isolation Bracket</t>
  </si>
  <si>
    <t>Cornflake - S6 Custom Isolation Bracket</t>
  </si>
  <si>
    <t>Cornflake - M12 Custom Isolation Bracket</t>
  </si>
  <si>
    <t>Cornflake - H12 Custom Isolation Bracket</t>
  </si>
  <si>
    <t>Cornflake - S-110 Custom Isolation Mount</t>
  </si>
  <si>
    <t>Total Cornflake</t>
  </si>
  <si>
    <t>cornfllake</t>
  </si>
  <si>
    <t>cornfllake - DT-DYN-4-4000-2.37-IS-ATS</t>
  </si>
  <si>
    <t>#SR241012</t>
  </si>
  <si>
    <t>cornfllake - Porthole glass only - 550 x 350 x 6 mm</t>
  </si>
  <si>
    <t>Total cornfllake</t>
  </si>
  <si>
    <t>Cotswolds AV Limited</t>
  </si>
  <si>
    <t>Cotswolds AV Limited - MAG Theatron Hammer-15</t>
  </si>
  <si>
    <t>#SR241139</t>
  </si>
  <si>
    <t>Total Cotswolds AV Limited</t>
  </si>
  <si>
    <t>Custom Sight &amp; Sound Ltd</t>
  </si>
  <si>
    <t>Custom Sight &amp; Sound Ltd - Vertical Projector Mirror Mount</t>
  </si>
  <si>
    <t>#SR241146</t>
  </si>
  <si>
    <t>Custom Sight &amp; Sound Ltd - Projector Port Hole (Single Glazed)</t>
  </si>
  <si>
    <t>Total Custom Sight &amp; Sound Ltd</t>
  </si>
  <si>
    <t>Daniel Crick</t>
  </si>
  <si>
    <t>Daniel Crick - Fabric Walls Tool - Set</t>
  </si>
  <si>
    <t>#SR241026</t>
  </si>
  <si>
    <t>Total Daniel Crick</t>
  </si>
  <si>
    <t>De Opera Domotica</t>
  </si>
  <si>
    <t>De Opera Domotica - PixLite® A4-S Mk3</t>
  </si>
  <si>
    <t>#SR241112</t>
  </si>
  <si>
    <t>De Opera Domotica - Vertical Projector Mirror Mount</t>
  </si>
  <si>
    <t>#SR241152</t>
  </si>
  <si>
    <t>De Opera Domotica - PHG-1-C glass only. 235 x 500mm</t>
  </si>
  <si>
    <t>De Opera Domotica - SPAT-SET-P Spatial space map creation - Up to 64 channels</t>
  </si>
  <si>
    <t>#SR241173</t>
  </si>
  <si>
    <t>De Opera Domotica - Pro-Fi -Dot 1 - Surface Mount - Single driver point source microspeaker - Requires 1 channel DSP Amp - 200-15Hz - 85dB</t>
  </si>
  <si>
    <t>De Opera Domotica - Pro-Fi -Dash 2 - Surface Mount - Dual driver line source microspeaker - Requires 1 channel DSP Amp - 200-15Hz - 91dB</t>
  </si>
  <si>
    <t>De Opera Domotica - Pro-Fi -Boxer 1 - Surface Mount - Microsubwoofer - Requires 1 channel DSP Amp - 40-250Hz - 100dB</t>
  </si>
  <si>
    <t>De Opera Domotica - 2 x 40W - 1 x80W DSP Amplifier - POE</t>
  </si>
  <si>
    <t>Sales - Materials - Audio Amplfiers</t>
  </si>
  <si>
    <t>De Opera Domotica - 50mm x 35mm Surface Mount Profile - Black Anodised Profile - Black Diffusor up to 3m - Populated with RGBW Pixel LED and Terminated with Tails</t>
  </si>
  <si>
    <t>De Opera Domotica - Meanwell 12V - 350w (UHP-350-12)</t>
  </si>
  <si>
    <t>De Opera Domotica - Poet Partner Demo Set</t>
  </si>
  <si>
    <t>De Opera Domotica - Light Jams Lighting Content and Control Software - Up to 48 DMX Universes - Perpetual License</t>
  </si>
  <si>
    <t>De Opera Domotica - Light Jams pixel layout for one rectangular room up to 64 DMX Universes</t>
  </si>
  <si>
    <t>De Opera Domotica - Atmosphere Hospitality Complete - Annual License</t>
  </si>
  <si>
    <t>De Opera Domotica - Pixel LED Tape - 12v RGBW</t>
  </si>
  <si>
    <t>#SR241213</t>
  </si>
  <si>
    <t>De Opera Domotica - 2 x 40W - 1 x80W Compact DSP Amplifier - Dante Input - POE - For distributed applications</t>
  </si>
  <si>
    <t>#SR241234</t>
  </si>
  <si>
    <t>De Opera Domotica - Ultrasuede LX - GC1 - Ashphalt</t>
  </si>
  <si>
    <t>#SR241278</t>
  </si>
  <si>
    <t>#SR241285</t>
  </si>
  <si>
    <t>#SR241322</t>
  </si>
  <si>
    <t>#SR241336</t>
  </si>
  <si>
    <t>#SR241358</t>
  </si>
  <si>
    <t>#SR241375</t>
  </si>
  <si>
    <t>Total De Opera Domotica</t>
  </si>
  <si>
    <t>De Opera Domotica B.V.</t>
  </si>
  <si>
    <t>Receive Money</t>
  </si>
  <si>
    <t>De Opera Domotica B.V. - exchange rate increase</t>
  </si>
  <si>
    <t>Total De Opera Domotica B.V.</t>
  </si>
  <si>
    <t>Dellicompagni</t>
  </si>
  <si>
    <t>Dellicompagni - Dynamic 4 - 4-Way Masking Screen - (D#009JBHC)</t>
  </si>
  <si>
    <t>#SR241299</t>
  </si>
  <si>
    <t>Dellicompagni - Dynamic 4 - 4-Way Masking Screen - (D#99S8LN7)</t>
  </si>
  <si>
    <t>#SR241317</t>
  </si>
  <si>
    <t>Total Dellicompagni</t>
  </si>
  <si>
    <t>Desisti Asia Pte. Ltd.</t>
  </si>
  <si>
    <t>Desisti Asia Pte. Ltd. - DYN4XL-5960-1.86-IS-ATS-XL - Luxury Black Fabric for the masks</t>
  </si>
  <si>
    <t>#SR241313</t>
  </si>
  <si>
    <t>Total Desisti Asia Pte. Ltd.</t>
  </si>
  <si>
    <t>DIFUSIONA SL</t>
  </si>
  <si>
    <t>DIFUSIONA SL - LW-3032-PI-S-O-1-LED12P As specified in Riog Arena SRND LTD Proposal - Difusiona V6</t>
  </si>
  <si>
    <t>#SR241138</t>
  </si>
  <si>
    <t>DIFUSIONA SL - Advatek Control - Roig Arena - Dynamic LED v6</t>
  </si>
  <si>
    <t>DIFUSIONA SL - System Design and Schematic Layouts - CAD, PDFOutput (Per Hour)</t>
  </si>
  <si>
    <t>DIFUSIONA SL - Project management - Meeting (remote), Project Documentation</t>
  </si>
  <si>
    <t>Sales - Services - Project Services</t>
  </si>
  <si>
    <t>Total DIFUSIONA SL</t>
  </si>
  <si>
    <t>Dinis Coelho Lda</t>
  </si>
  <si>
    <t>Dinis Coelho Lda - Motorised Mirror Drop</t>
  </si>
  <si>
    <t>#SR241207</t>
  </si>
  <si>
    <t>Dinis Coelho Lda - Mistral Commander - Fan Controller 2 Zone</t>
  </si>
  <si>
    <t>Dinis Coelho Lda - Mistral-200 Inline Fan</t>
  </si>
  <si>
    <t>Dinis Coelho Lda - Vertical Projector Mirror Mount</t>
  </si>
  <si>
    <t>#SR241248</t>
  </si>
  <si>
    <t>Dinis Coelho Lda - Projector Port Hole (Double Glazed)</t>
  </si>
  <si>
    <t>Total Dinis Coelho Lda</t>
  </si>
  <si>
    <t>Display Technologies Limited</t>
  </si>
  <si>
    <t>Display Technologies Limited - Vertical Projector Mount</t>
  </si>
  <si>
    <t>2254</t>
  </si>
  <si>
    <t>Display Technologies Limited - Motorised Mirror Drop - Custom made for specified projector - Projectors up to 850 x 600 x 350mm</t>
  </si>
  <si>
    <t>2302</t>
  </si>
  <si>
    <t>Display Technologies Limited - Port Hole Glass - Single Glazed 98% transmissivity dual AR coated - 390 x 290mm</t>
  </si>
  <si>
    <t>2301</t>
  </si>
  <si>
    <t>Display Technologies Limited - Ceiling Mount</t>
  </si>
  <si>
    <t>DT#1051</t>
  </si>
  <si>
    <t>Display Technologies Limited - CNTP|3500|1.78|ATPRO</t>
  </si>
  <si>
    <t>DT#1079</t>
  </si>
  <si>
    <t>Display Technologies Limited - Frontier - (D#CWUTJV0)</t>
  </si>
  <si>
    <t>DT#1088</t>
  </si>
  <si>
    <t>DT#1149</t>
  </si>
  <si>
    <t>Display Technologies Limited - Manufacture - Fabric Walls - PROJECT SR241151</t>
  </si>
  <si>
    <t>INV-0670</t>
  </si>
  <si>
    <t>Display Technologies Limited - DT-DYN2TB-2400-1.78-IS-ATREF</t>
  </si>
  <si>
    <t>DT#1185</t>
  </si>
  <si>
    <t>Display Technologies Limited - Frontier - (D#52X97OL)</t>
  </si>
  <si>
    <t>DT#1219</t>
  </si>
  <si>
    <t>Display Technologies Limited - Howarth Timber Demo Room Materials</t>
  </si>
  <si>
    <t>INV-0685</t>
  </si>
  <si>
    <t>Total Display Technologies Limited</t>
  </si>
  <si>
    <t>DREAMCINEMA</t>
  </si>
  <si>
    <t>DREAMCINEMA - Ceiling Mount</t>
  </si>
  <si>
    <t>#SR241063</t>
  </si>
  <si>
    <t>Total DREAMCINEMA</t>
  </si>
  <si>
    <t>eBay</t>
  </si>
  <si>
    <t>Total eBay</t>
  </si>
  <si>
    <t>Elektropartners BV</t>
  </si>
  <si>
    <t>Elektropartners BV - Dynamic Commander</t>
  </si>
  <si>
    <t>#SR241203</t>
  </si>
  <si>
    <t>Elektropartners BV - Shipping from NL</t>
  </si>
  <si>
    <t>Total Elektropartners BV</t>
  </si>
  <si>
    <t>Elergy Ltd</t>
  </si>
  <si>
    <t>Elergy Ltd - Camira fabric samples (4 books)</t>
  </si>
  <si>
    <t>#SR241022</t>
  </si>
  <si>
    <t>Elergy Ltd - Projector Port Hole (Double Glazed)</t>
  </si>
  <si>
    <t>#SR241262</t>
  </si>
  <si>
    <t>Elergy Ltd - RESONANCE CONTROL PANEL</t>
  </si>
  <si>
    <t>#SR241270</t>
  </si>
  <si>
    <t>Elergy Ltd - REVERBERATION CONTROL PANEL 50mm</t>
  </si>
  <si>
    <t>Elergy Ltd - Reflection Control Panel</t>
  </si>
  <si>
    <t>Elergy Ltd - Frontier - (D#WNZ6LOL)</t>
  </si>
  <si>
    <t>Elergy Ltd - Aluminium Fabric Frame - (D#3AC0974)</t>
  </si>
  <si>
    <t>Elergy Ltd - Aluminium Fabric Frame - (D#TGEQ0A5)</t>
  </si>
  <si>
    <t>Elergy Ltd - Aluminium Fabric Frame - (D#1UUL3Y8)</t>
  </si>
  <si>
    <t>Elergy Ltd - Aluminium Fabric Frame - (D#PY5IGU5)</t>
  </si>
  <si>
    <t>Elergy Ltd - Aluminium Fabric Frame - (D#YVIA9P6)</t>
  </si>
  <si>
    <t>Elergy Ltd - Aluminium Fabric Frame - (D#AL8UA2H)</t>
  </si>
  <si>
    <t>Elergy Ltd - Aluminium Fabric Frame - (D#3OQWUYQ)</t>
  </si>
  <si>
    <t>Elergy Ltd - Aluminium Fabric Frame - (D#ZP3KUIY)</t>
  </si>
  <si>
    <t>Elergy Ltd - Aluminium Fabric Frame - (D#FIW9Q7X)</t>
  </si>
  <si>
    <t>Elergy Ltd - Aluminium Fabric Frame - (D#2A32UZ3)</t>
  </si>
  <si>
    <t>Total Elergy Ltd</t>
  </si>
  <si>
    <t>Environ Audio Ltd</t>
  </si>
  <si>
    <t>Environ Audio Ltd - RESONANCE CONTROL PANEL</t>
  </si>
  <si>
    <t>#SR241031</t>
  </si>
  <si>
    <t>Environ Audio Ltd - REVERBERATION CONTROL PANEL 50mm</t>
  </si>
  <si>
    <t>Environ Audio Ltd - Reflection Control Panel</t>
  </si>
  <si>
    <t>Total Environ Audio Ltd</t>
  </si>
  <si>
    <t>Essex Services Group LTD</t>
  </si>
  <si>
    <t>Essex Services Group LTD - Mistral-250 Inline Fan</t>
  </si>
  <si>
    <t>#SR241308</t>
  </si>
  <si>
    <t>Total Essex Services Group LTD</t>
  </si>
  <si>
    <t>FAO Beyond Habitat</t>
  </si>
  <si>
    <t>FAO Beyond Habitat - Frontier - (D#89559BR)</t>
  </si>
  <si>
    <t>#SR241102</t>
  </si>
  <si>
    <t>Total FAO Beyond Habitat</t>
  </si>
  <si>
    <t>Forte Sweden AB</t>
  </si>
  <si>
    <t>Forte Sweden AB - Projector Port Hole (Single Glazed)</t>
  </si>
  <si>
    <t>#SR241378</t>
  </si>
  <si>
    <t>Total Forte Sweden AB</t>
  </si>
  <si>
    <t>Fresia Media</t>
  </si>
  <si>
    <t>Fresia Media - Reflection Control Panel</t>
  </si>
  <si>
    <t>#SR241254</t>
  </si>
  <si>
    <t>Fresia Media - RESONANCE CONTROL PANEL</t>
  </si>
  <si>
    <t>Total Fresia Media</t>
  </si>
  <si>
    <t>Future Audio</t>
  </si>
  <si>
    <t>Future Audio - DT tension bands for DYN-2TB-3556-1.78 (1 pair)</t>
  </si>
  <si>
    <t>#SR241329</t>
  </si>
  <si>
    <t>Total Future Audio</t>
  </si>
  <si>
    <t>Genesis AV</t>
  </si>
  <si>
    <t>Genesis AV - Pixel LED Tape - 12v RGBW</t>
  </si>
  <si>
    <t>#SR241247</t>
  </si>
  <si>
    <t>Total Genesis AV</t>
  </si>
  <si>
    <t>GF Management Company, LLC</t>
  </si>
  <si>
    <t>GF Management Company, LLC - Replacment Dual Actuator V3 Controller - IP, RS232, 2v</t>
  </si>
  <si>
    <t>#SR241116</t>
  </si>
  <si>
    <t>GF Management Company, LLC - Linear actuator - 300mm extension - 750N peak load</t>
  </si>
  <si>
    <t>Total GF Management Company, LLC</t>
  </si>
  <si>
    <t>Grahams Hi-Fi Ltd</t>
  </si>
  <si>
    <t>Grahams Hi-Fi Ltd - Dynamic tension bands set</t>
  </si>
  <si>
    <t>#SR241052</t>
  </si>
  <si>
    <t>Total Grahams Hi-Fi Ltd</t>
  </si>
  <si>
    <t>Green Bean Carib Ltd</t>
  </si>
  <si>
    <t>Green Bean Carib Ltd - MAG Theatron TDC-1200w Amplifier</t>
  </si>
  <si>
    <t>#SR241091</t>
  </si>
  <si>
    <t>Green Bean Carib Ltd - MAG Theatron TDC-3200w Amplifier</t>
  </si>
  <si>
    <t>Green Bean Carib Ltd - MAG Theatron M12-C</t>
  </si>
  <si>
    <t>Green Bean Carib Ltd - MAG Theatron M12-L</t>
  </si>
  <si>
    <t>Green Bean Carib Ltd - MAG Theatron M12-R</t>
  </si>
  <si>
    <t>Green Bean Carib Ltd - MAG Theatron S8 - Black</t>
  </si>
  <si>
    <t>Green Bean Carib Ltd - MAG Theatron CS-44 - Black</t>
  </si>
  <si>
    <t>Green Bean Carib Ltd - Mag-THOR-Vi Subwoofer</t>
  </si>
  <si>
    <t>Green Bean Carib Ltd - MAG Theatron Hammer-15</t>
  </si>
  <si>
    <t>Green Bean Carib Ltd - MAGT-WMT-12D</t>
  </si>
  <si>
    <t>Green Bean Carib Ltd - MAG-WMT-20</t>
  </si>
  <si>
    <t>Green Bean Carib Ltd - Barco Balder Cinemascope Cinema Projector - EN66 - Ultra Wide Angle Zoom Lens option (0.80-1.21)</t>
  </si>
  <si>
    <t>Green Bean Carib Ltd - FRNT-4500-2.47-ATS</t>
  </si>
  <si>
    <t>Green Bean Carib Ltd - Acoustic Treatment Design Service - Basic</t>
  </si>
  <si>
    <t>#SR241301</t>
  </si>
  <si>
    <t>Green Bean Carib Ltd - Ceiling Mount</t>
  </si>
  <si>
    <t>#SR241362</t>
  </si>
  <si>
    <t>Green Bean Carib Ltd - DHL shipping</t>
  </si>
  <si>
    <t>#SR241363</t>
  </si>
  <si>
    <t>Total Green Bean Carib Ltd</t>
  </si>
  <si>
    <t>Green Bean Limited</t>
  </si>
  <si>
    <t>Green Bean Limited - RESONANCE CONTROL PANEL</t>
  </si>
  <si>
    <t>#SR241015</t>
  </si>
  <si>
    <t>Green Bean Limited - Reflection Control Panel</t>
  </si>
  <si>
    <t>Green Bean Limited - REVERBERATION CONTROL PANEL 50mm</t>
  </si>
  <si>
    <t>Green Bean Limited - COB LED Tape - 24v RGBW</t>
  </si>
  <si>
    <t>Green Bean Limited - Fabric wall panels for all four walls and ceiling</t>
  </si>
  <si>
    <t>Green Bean Limited - Populated profiles for wall LED strips</t>
  </si>
  <si>
    <t>Green Bean Limited - Populated profiles for screen wall LED strips</t>
  </si>
  <si>
    <t>Green Bean Limited - Powdercoated black bezel for porthole</t>
  </si>
  <si>
    <t>Green Bean Limited - DP4000 IA - DP4000 Intelligent Amplifier</t>
  </si>
  <si>
    <t>#SR241014</t>
  </si>
  <si>
    <t>Green Bean Limited - DCB Flyte-BK - 5.25-inch Flyte Speaker - Black</t>
  </si>
  <si>
    <t>Green Bean Limited - 660-IC-SUR Surround Ceiling Speaker</t>
  </si>
  <si>
    <t>Green Bean Limited - IW210 In-Wall Subwoofer with P350 Amp Kit</t>
  </si>
  <si>
    <t>Green Bean Limited - Aluminium Fabric Frame - (D#8KZGWEB)</t>
  </si>
  <si>
    <t>#SR241201</t>
  </si>
  <si>
    <t>Green Bean Limited - Aluminium Fabric Frame - (D#31MJWYE)</t>
  </si>
  <si>
    <t>Green Bean Limited - Aluminium Fabric Frame - (D#2PZ61M7)</t>
  </si>
  <si>
    <t>Green Bean Limited - Aluminium Fabric Frame - (D#01H9EL3)</t>
  </si>
  <si>
    <t>Green Bean Limited - Aluminium Fabric Frame - (D#MWQ5VC1)</t>
  </si>
  <si>
    <t>Total Green Bean Limited</t>
  </si>
  <si>
    <t>GWConsulting bv</t>
  </si>
  <si>
    <t>GWConsulting bv - DT-HB-E - Enthusiast HB with integrated airflow management system</t>
  </si>
  <si>
    <t>#SR241351</t>
  </si>
  <si>
    <t>Total GWConsulting bv</t>
  </si>
  <si>
    <t>H-K Systems e.K.</t>
  </si>
  <si>
    <t>H-K Systems e.K. - Starred ceiling including structure, fibre optics, fabric and light engine - 41,33 m2</t>
  </si>
  <si>
    <t>#SR241032</t>
  </si>
  <si>
    <t>H-K Systems e.K. - DHL road shipping - Incoterms: DAP</t>
  </si>
  <si>
    <t>#SR241055</t>
  </si>
  <si>
    <t>Total H-K Systems e.K.</t>
  </si>
  <si>
    <t>Halo Audio Visual</t>
  </si>
  <si>
    <t>Halo Audio Visual - Mad VR Envy Core</t>
  </si>
  <si>
    <t>#SR241101</t>
  </si>
  <si>
    <t>Total Halo Audio Visual</t>
  </si>
  <si>
    <t>HAT</t>
  </si>
  <si>
    <t>HAT - Vertical Projector Mirror Mount</t>
  </si>
  <si>
    <t>#SR241070</t>
  </si>
  <si>
    <t>HAT - SRND - International Express DHL shipping</t>
  </si>
  <si>
    <t>#SR241071</t>
  </si>
  <si>
    <t>Total HAT</t>
  </si>
  <si>
    <t>HENRI Alpes</t>
  </si>
  <si>
    <t>HENRI Alpes - Vertical Projector Mirror Mount</t>
  </si>
  <si>
    <t>#SR241326</t>
  </si>
  <si>
    <t>Total HENRI Alpes</t>
  </si>
  <si>
    <t>Hifi Corner</t>
  </si>
  <si>
    <t>Hifi Corner - PT-FLYTE-OW-B dARTS Flyte on wall speaker (black)</t>
  </si>
  <si>
    <t>#SR241011</t>
  </si>
  <si>
    <t>Hifi Corner - RESONANCE CONTROL PANEL</t>
  </si>
  <si>
    <t>#SR241049</t>
  </si>
  <si>
    <t>Hifi Corner - Reflection Control Panel</t>
  </si>
  <si>
    <t>Hifi Corner - REVERBERATION CONTROL PANEL 50mm</t>
  </si>
  <si>
    <t>Hifi Corner - Frontier Fixed Frame Projection Screen. Width 3000mm 1.78:1.</t>
  </si>
  <si>
    <t>Hifi Corner - Fabric wall panels for all four walls and ceiling - Panaz Altair Charcoal</t>
  </si>
  <si>
    <t>Hifi Corner - LED PSU's and Interfaces</t>
  </si>
  <si>
    <t>Hifi Corner - Integrated and populated LED profile at low and high level</t>
  </si>
  <si>
    <t>Hifi Corner - Custom Front Wall Panels for Herriot Row with grill detail as agreed.</t>
  </si>
  <si>
    <t>#SR241053</t>
  </si>
  <si>
    <t>Hifi Corner - madVR Envy Core</t>
  </si>
  <si>
    <t>#SR241077</t>
  </si>
  <si>
    <t>Hifi Corner - madVR Envy Core - No Restock Item</t>
  </si>
  <si>
    <t>Hifi Corner - madVR Envy Extreme MK2</t>
  </si>
  <si>
    <t>#SR241100</t>
  </si>
  <si>
    <t>#SR241103</t>
  </si>
  <si>
    <t>Hifi Corner - Set Of tension bands for Dynamic 2S SN1534</t>
  </si>
  <si>
    <t>#SR241104</t>
  </si>
  <si>
    <t>Hifi Corner - Ceiling Mount</t>
  </si>
  <si>
    <t>#SR241137</t>
  </si>
  <si>
    <t>#SR241142</t>
  </si>
  <si>
    <t>Hifi Corner - Black Downward Illumination Stair &amp; Step Aluminium LED Profile - Front 3635mm Side 1930mm</t>
  </si>
  <si>
    <t>#SR241149</t>
  </si>
  <si>
    <t>Hifi Corner - Advatek DIN Rail Mount Kit (suits R2F-S, R4D-S, E4-S, E16-S)</t>
  </si>
  <si>
    <t>Hifi Corner - Sound Isolation Design Project</t>
  </si>
  <si>
    <t>#SR241227</t>
  </si>
  <si>
    <t>Hifi Corner - Acoustic Treatment Design Service - Basic</t>
  </si>
  <si>
    <t>Hifi Corner - Outline Fixed Projection Screen - 16:9 Aspect - 100" / ImageGrey - Solid Grey Screen Surface - High Contrast</t>
  </si>
  <si>
    <t>#SR241258</t>
  </si>
  <si>
    <t>Hifi Corner - Ultrasuede XL - 5548 Asphalt</t>
  </si>
  <si>
    <t>#SR241275</t>
  </si>
  <si>
    <t>Hifi Corner - LEY-KOMODO-0.7 -Komodo 0.7pp | 7x5 cabinet format | 4480*1800 | 3.36m x 1.35m | 185" (5% spares + puck wall mount included)</t>
  </si>
  <si>
    <t>#SR241279</t>
  </si>
  <si>
    <t>Hifi Corner - LEY-GOLD-KOMODO-0.7 - Gold tier Professional services including commissioning, assisted installation, and on-site training.</t>
  </si>
  <si>
    <t>Hifi Corner - DT-SW-LED - Modular screen wall solution featuring a decoupled framework, Baffle mounting speaker locations and acoustics. Based on dimensions 5 x 2,4m</t>
  </si>
  <si>
    <t>Hifi Corner - LEY-KOMODO-0.7 - Komodo 0.7pp | 5x5 cabinet format | 3200*1800 | 2.4m x 1.35m | 120" (5% spares + puck wall mount included)</t>
  </si>
  <si>
    <t>#SR241280</t>
  </si>
  <si>
    <t>Hifi Corner - Penetration Isolation Back Box - 270mm x 400mm</t>
  </si>
  <si>
    <t>#SR241319</t>
  </si>
  <si>
    <t>Hifi Corner - MAG Theatron M8-LR - Black</t>
  </si>
  <si>
    <t>#SR241330</t>
  </si>
  <si>
    <t>Hifi Corner - MAG Theatron M8-C - Black</t>
  </si>
  <si>
    <t>Hifi Corner - MAG Theatron S6 - Black</t>
  </si>
  <si>
    <t>Hifi Corner - MAG Theatron S4 - Black</t>
  </si>
  <si>
    <t>Hifi Corner - MAG Theatron Slim 110 black</t>
  </si>
  <si>
    <t>Hifi Corner - MAG Theatron WMT-20 wall mount</t>
  </si>
  <si>
    <t>Hifi Corner - Komodo 0.7pp | 6x5 cabinet format | 3840*1800 | 2.88m x 1.35m | (5% spares + puck wall mount included)</t>
  </si>
  <si>
    <t>#SR241331</t>
  </si>
  <si>
    <t>Hifi Corner - Gold tier Professional services including commissioning, assisted installation, and on-site training.</t>
  </si>
  <si>
    <t>Hifi Corner - Modular screen wall solution featuring a decoupled framework, Baffle mounting speaker locations and acoustics. Based on dimensions 3,5 x 2,6m</t>
  </si>
  <si>
    <t>Hifi Corner - Mad VR Envy Extreme Mk3 - HDMI 2.1 video processor with single processed HDMI input and Output and single bypass output. AI powered dynamic tone mapping, scaling, deinterlacing and advanced calibration functions up to 8K60</t>
  </si>
  <si>
    <t>Hifi Corner - LJ perpetual license - 4 universes</t>
  </si>
  <si>
    <t>#SR241332</t>
  </si>
  <si>
    <t>Hifi Corner - Micro Media Server for Light Jams by SRND - Dual LAN, 16GB RAM</t>
  </si>
  <si>
    <t>Hifi Corner - Frontier - (D#Q5FW0U8)</t>
  </si>
  <si>
    <t>#SR241364</t>
  </si>
  <si>
    <t>Hifi Corner - FW Madrid design, 2 side walls, no ceiling, 3 pixel LED stripes each side.</t>
  </si>
  <si>
    <t>Hifi Corner - Fabric Walls - Aluminium Frame System - Black Powder coat Finish 32mm deep frame with mounting hardware. Silicon edge CNC cut Fabric Surface - Camira Blazer Lite - 2864 x 300 mm</t>
  </si>
  <si>
    <t>Hifi Corner - Fabric Walls - Aluminium Frame System - Black Powder coat Finish 32mm deep frame with mounting hardware. Silicon edge CNC cut Fabric Surface - Camira Blazer Lite - 875 x 2000 mm</t>
  </si>
  <si>
    <t>Hifi Corner - 35mm x 35mm Surface Mount Profile - Black Anodised Profile - Black Diffusor up to 2m - Populated with 12v RGBW Pro Pixel LED and Terminated with Tails</t>
  </si>
  <si>
    <t>Hifi Corner - Meanwell 12V - 350w (UHP-350-12)</t>
  </si>
  <si>
    <t>Hifi Corner - PixLite® A4-S Mk3</t>
  </si>
  <si>
    <t>Hifi Corner - Akustik + Sylomer® Channel Clip 15</t>
  </si>
  <si>
    <t>#SR241366</t>
  </si>
  <si>
    <t>Hifi Corner - EP 500+Sylomer s35</t>
  </si>
  <si>
    <t>Hifi Corner - MP5A - Rubber elastomer compound mixed with Barite</t>
  </si>
  <si>
    <t>Total Hifi Corner</t>
  </si>
  <si>
    <t>Holburn (Scotland) Limited</t>
  </si>
  <si>
    <t>Holburn (Scotland) Limited - Fit Out Design Work for Kildrummy Cinema Project as per proposal SRND_HH_KILDRUMMY_DESIGN AND FIT-OUT_10APR24. Design cost 10% of total value .</t>
  </si>
  <si>
    <t>#SR241038</t>
  </si>
  <si>
    <t>Holburn (Scotland) Limited - TPIC-PM8HD - High Performance Class D Amplifier - 4 x 2000W Balanced Analogue Input TPI CINEMA</t>
  </si>
  <si>
    <t>#SR241058</t>
  </si>
  <si>
    <t>Holburn (Scotland) Limited - TPIC-PM2HD - High Performance Class D Amplifier - 4 x 500W Balanced Analogue Input TPI CINEMA</t>
  </si>
  <si>
    <t>Holburn (Scotland) Limited - TPIC-STUDIO -3-12 - 1 x 8", 1 x 12" Woofer, 1 x 1" Softdome Tweeter - 45- 20kHz - 1500W - 8ohms - 95dB TPI CINEMA</t>
  </si>
  <si>
    <t>Holburn (Scotland) Limited - TPIC-STUDIO -3-6H - 2 x 6" Woofer, 1 x 1" Softdome Tweeter - Angle Baffle - 80-20kHz - 600W - 4ohms - 97dB - 100mm TPI CINEMA</t>
  </si>
  <si>
    <t>Holburn (Scotland) Limited - TPIC-STUDIO -3-6PRO - 2 x 6" Woofer, 1 x 1" Softdome Tweeter - 80- 20kHz - 600W - 4ohms - 97dB - 100mm TPI CINEMA</t>
  </si>
  <si>
    <t>Holburn (Scotland) Limited - TPIC-STUDIO -CS15 - 1 x 15" Woofer, 25-150Hz - 1800W - 8ohms - 98dB TPI CINEMA</t>
  </si>
  <si>
    <t>Holburn (Scotland) Limited - TPIC-STUDIO -CS410X - 4 x 10" Woofer, High Output 35-150Hz - 1000W - 8ohms - 93dB - 100mm deep TPI CINEMA</t>
  </si>
  <si>
    <t>Holburn (Scotland) Limited - TPIC-BK - Mounting bracket kit 2 x brackets with mounting bolts TPI Cinema</t>
  </si>
  <si>
    <t>Holburn (Scotland) Limited - SRND - Custom Cinema Fit Out Element Screen Wall - Baffle wall projection screen wall with speaker mounts. SRND</t>
  </si>
  <si>
    <t>#SR241057</t>
  </si>
  <si>
    <t>Holburn (Scotland) Limited - Dynamic 2s - Side Masking Screen - (D#0VI6AW1)</t>
  </si>
  <si>
    <t>#SR241064</t>
  </si>
  <si>
    <t>Holburn (Scotland) Limited - Barco Balder Cinemascope Cinema Projector - EN61 - Standard Zoom Lens Option (1.70-2.50)</t>
  </si>
  <si>
    <t>#SR241073</t>
  </si>
  <si>
    <t>Holburn (Scotland) Limited - madVR Envy Pro MK2</t>
  </si>
  <si>
    <t>Holburn (Scotland) Limited - Projector Port Hole (Double Glazed)</t>
  </si>
  <si>
    <t>Receivable Payment</t>
  </si>
  <si>
    <t>Payment: Holburn (Scotland) Limited</t>
  </si>
  <si>
    <t>Holburn (Scotland) Limited - Reflection Control Panel</t>
  </si>
  <si>
    <t>#SR241093</t>
  </si>
  <si>
    <t>Holburn (Scotland) Limited - RESONANCE CONTROL PANEL</t>
  </si>
  <si>
    <t>Holburn (Scotland) Limited - REVERBERATION CONTROL PANEL 50mm</t>
  </si>
  <si>
    <t>Holburn (Scotland) Limited - Front Wall Acoustic Materials</t>
  </si>
  <si>
    <t>Holburn (Scotland) Limited - Ceiling Mount</t>
  </si>
  <si>
    <t>#SR241140</t>
  </si>
  <si>
    <t>Holburn (Scotland) Limited - Kildrummy Cinema Fit-out
As Per proposal - SRND_HH_KILDRUMMY_DESIGN AND FIT-OUT_10APR24</t>
  </si>
  <si>
    <t>INV-0012</t>
  </si>
  <si>
    <t>Holburn (Scotland) Limited - Payment Received - Design</t>
  </si>
  <si>
    <t>Holburn (Scotland) Limited - Payment Received - Screen Wall</t>
  </si>
  <si>
    <t>Holburn (Scotland) Limited - Acusti Cubes - (Screen Wall) Prepaid</t>
  </si>
  <si>
    <t>Holburn (Scotland) Limited - Interim Paymrnt for Kildrummy cinema room fit-out</t>
  </si>
  <si>
    <t>INV-0018</t>
  </si>
  <si>
    <t>Holburn (Scotland) Limited - Acoustic Panels - Front Wall - Kilbrummy</t>
  </si>
  <si>
    <t>INV-0016</t>
  </si>
  <si>
    <t>Holburn (Scotland) Limited - Commissioning Support - SRND Display Products</t>
  </si>
  <si>
    <t>#SR241284</t>
  </si>
  <si>
    <t>Holburn (Scotland) Limited - Replacement silicon edge fabric panel in black Showtex - All arches, Front wall panels, Panels around door</t>
  </si>
  <si>
    <t>#SR241371</t>
  </si>
  <si>
    <t>Holburn (Scotland) Limited - Supply of fabric only for ceiling</t>
  </si>
  <si>
    <t>Holburn (Scotland) Limited - Extra for the wrapped profiles</t>
  </si>
  <si>
    <t>Total Holburn (Scotland) Limited</t>
  </si>
  <si>
    <t>Holburn HiFi Ltd</t>
  </si>
  <si>
    <t>Holburn HiFi Ltd - Penetration Isolation Back Box - 270mm x 400mm</t>
  </si>
  <si>
    <t>#SR241010</t>
  </si>
  <si>
    <t>Sales - Materials - Sound Isolation</t>
  </si>
  <si>
    <t>Holburn HiFi Ltd - STH-LR6G – COMPACT FORMAT 2 WAY INVISIBLE SPEAKER - PAIR</t>
  </si>
  <si>
    <t>#SR241016</t>
  </si>
  <si>
    <t>Holburn HiFi Ltd - Wooden Backbox 12 - Compact</t>
  </si>
  <si>
    <t>Holburn HiFi Ltd - Wooden Backbox 22 - Medium</t>
  </si>
  <si>
    <t>Holburn HiFi Ltd - STH-LRX83 – MEDIUM FORMAT 3 WAY INVISIBLE SPEAKER - SINGLE</t>
  </si>
  <si>
    <t>Holburn HiFi Ltd - STH-B22G – MEDIUM FORMAT DUAL PANEL WAY INVISIBLE SUBWOOFER</t>
  </si>
  <si>
    <t>Total Holburn HiFi Ltd</t>
  </si>
  <si>
    <t>Home Control Scotland Limited</t>
  </si>
  <si>
    <t>Home Control Scotland Limited - Metal Backbox 22 - Medium</t>
  </si>
  <si>
    <t>#SR241029</t>
  </si>
  <si>
    <t>Home Control Scotland Limited - STH-LRX83 – MEDIUM FORMAT 3 WAY INVISIBLE SPEAKER - PAIR</t>
  </si>
  <si>
    <t>#SR241028</t>
  </si>
  <si>
    <t>Total Home Control Scotland Limited</t>
  </si>
  <si>
    <t>Ideaworks</t>
  </si>
  <si>
    <t>Ideaworks - Projector Port Hole Small (Single Glazed)</t>
  </si>
  <si>
    <t>#SR241062</t>
  </si>
  <si>
    <t>Ideaworks - Ceiling Mount</t>
  </si>
  <si>
    <t>#SR241182</t>
  </si>
  <si>
    <t>Total Ideaworks</t>
  </si>
  <si>
    <t>Ideaworks (London) Limited</t>
  </si>
  <si>
    <t>Ideaworks (London) Limited - Acoustic Treatment Design Service - Basic</t>
  </si>
  <si>
    <t>#SR241123</t>
  </si>
  <si>
    <t>Ideaworks (London) Limited - Mistral Commander - Fan Controller 2 Zone</t>
  </si>
  <si>
    <t>#SR241135</t>
  </si>
  <si>
    <t>Ideaworks (London) Limited - DT-HBO-VM</t>
  </si>
  <si>
    <t>Ideaworks (London) Limited - Mistral-150 Inline Fan</t>
  </si>
  <si>
    <t>Ideaworks (London) Limited - Hush Box - Medium - Right and Rear (R) / 150mm</t>
  </si>
  <si>
    <t>Ideaworks (London) Limited - RESONANCE CONTROL PANEL</t>
  </si>
  <si>
    <t>#SR241154</t>
  </si>
  <si>
    <t>Ideaworks (London) Limited - REVERBERATION CONTROL PANEL 50mm</t>
  </si>
  <si>
    <t>Ideaworks (London) Limited - Reflection Control Panel</t>
  </si>
  <si>
    <t>#SR241169</t>
  </si>
  <si>
    <t>#SR241174</t>
  </si>
  <si>
    <t>Ideaworks (London) Limited - Vertical Projector Mount - XXL</t>
  </si>
  <si>
    <t>#SR241184</t>
  </si>
  <si>
    <t>#SR241222</t>
  </si>
  <si>
    <t>#SR241223</t>
  </si>
  <si>
    <t>Ideaworks (London) Limited - Projector Port Hole (Single Glazed) Custom Size - (D#HQYTU5O)</t>
  </si>
  <si>
    <t>#SR241245</t>
  </si>
  <si>
    <t>Ideaworks (London) Limited - Hush Box - Medium - Left and Rear (L) / 200mm</t>
  </si>
  <si>
    <t>#SR241307</t>
  </si>
  <si>
    <t>Ideaworks (London) Limited - Mistral-200 Inline Fan</t>
  </si>
  <si>
    <t>Ideaworks (London) Limited - DT-HBO-VM Mirror module for HB-M</t>
  </si>
  <si>
    <t>Ideaworks (London) Limited - Projector Port Hole (Double Glazed)</t>
  </si>
  <si>
    <t>Ideaworks (London) Limited - DT-DYN-2TB-XL-5900-1.78-ATSXL with split rollers</t>
  </si>
  <si>
    <t>#SR241318</t>
  </si>
  <si>
    <t>#SR241324</t>
  </si>
  <si>
    <t>Ideaworks (London) Limited - Ceiling Mount</t>
  </si>
  <si>
    <t>#SR241346</t>
  </si>
  <si>
    <t>Ideaworks (London) Limited - Ultrasuede US-XL-5206-GINGER</t>
  </si>
  <si>
    <t>#SR241372</t>
  </si>
  <si>
    <t>Ideaworks (London) Limited - DT-ISO-AKU3 - 50mm acoustic isolator for DT-CM</t>
  </si>
  <si>
    <t>#SR241376</t>
  </si>
  <si>
    <t>Total Ideaworks (London) Limited</t>
  </si>
  <si>
    <t>Ideaworks (London) Ltd.</t>
  </si>
  <si>
    <t>Ideaworks (London) Ltd. - POET - FM0 Mini Media Server</t>
  </si>
  <si>
    <t>#SR241061</t>
  </si>
  <si>
    <t>Ideaworks (London) Ltd. - Stereolabs - ZED 2i Stereo Camera</t>
  </si>
  <si>
    <t>Ideaworks (London) Ltd. - SRND - Labour and travel expenses linked to installation</t>
  </si>
  <si>
    <t>Total Ideaworks (London) Ltd.</t>
  </si>
  <si>
    <t>Ideaworks London Ltd</t>
  </si>
  <si>
    <t>Ideaworks London Ltd - Projector Port Hole (Single Glazed)</t>
  </si>
  <si>
    <t>#SR241117</t>
  </si>
  <si>
    <t>Total Ideaworks London Ltd</t>
  </si>
  <si>
    <t>Ideaworks Ltd</t>
  </si>
  <si>
    <t>Ideaworks Ltd - Acoustic Treatment Design Service - Basic</t>
  </si>
  <si>
    <t>#SR241094</t>
  </si>
  <si>
    <t>Total Ideaworks Ltd</t>
  </si>
  <si>
    <t>Illusion Instalaciones SL</t>
  </si>
  <si>
    <t>Illusion Instalaciones SL - Pixel LED Tape - 12v RGBW</t>
  </si>
  <si>
    <t>#SR241068</t>
  </si>
  <si>
    <t>Illusion Instalaciones SL - PixLite® A4-S Mk3</t>
  </si>
  <si>
    <t>Illusion Instalaciones SL - LW-ENG-SOFT-CONFIG  Software configuration and onsite help (Per Hour)</t>
  </si>
  <si>
    <t>Illusion Instalaciones SL - Shipping DHL DAP</t>
  </si>
  <si>
    <t>#SR241098</t>
  </si>
  <si>
    <t>Total Illusion Instalaciones SL</t>
  </si>
  <si>
    <t>INDIGOZEST LTD</t>
  </si>
  <si>
    <t>INDIGOZEST LTD - madVR Envy Pro MK2</t>
  </si>
  <si>
    <t>#SR241060</t>
  </si>
  <si>
    <t>Total INDIGOZEST LTD</t>
  </si>
  <si>
    <t>Inspired Dwellings</t>
  </si>
  <si>
    <t>Inspired Dwellings - Custom Design deposit for Mirror Mount Solutions</t>
  </si>
  <si>
    <t>#SR241200</t>
  </si>
  <si>
    <t>Inspired Dwellings - Custom Mirror Unit - In Ceiling Fixed</t>
  </si>
  <si>
    <t>#SR241250</t>
  </si>
  <si>
    <t>Inspired Dwellings - Custom Mirror Unit - In Ceiling Drop</t>
  </si>
  <si>
    <t>Total Inspired Dwellings</t>
  </si>
  <si>
    <t>INT3 Ltd</t>
  </si>
  <si>
    <t>INT3 Ltd - Consulting - D. Curry - Leadenhall project design Phase</t>
  </si>
  <si>
    <t>INV-0001</t>
  </si>
  <si>
    <t>INT3 Ltd - Davy Currie - Project Services</t>
  </si>
  <si>
    <t>INV-0004</t>
  </si>
  <si>
    <t>Total INT3 Ltd</t>
  </si>
  <si>
    <t>Intellihome AG</t>
  </si>
  <si>
    <t>Intellihome AG - REVERBERATION CONTROL PANEL 50mm</t>
  </si>
  <si>
    <t>#SR241097</t>
  </si>
  <si>
    <t>Intellihome AG - Reflection Control Panel</t>
  </si>
  <si>
    <t>#SR241136</t>
  </si>
  <si>
    <t>#SR241303</t>
  </si>
  <si>
    <t>#SR241352</t>
  </si>
  <si>
    <t>Total Intellihome AG</t>
  </si>
  <si>
    <t>Kali Snickerier AB</t>
  </si>
  <si>
    <t>Kali Snickerier AB - Projector Port Hole (Double Glazed) Custom Size - (D#3CQZ31G)</t>
  </si>
  <si>
    <t>#SR241155</t>
  </si>
  <si>
    <t>Total Kali Snickerier AB</t>
  </si>
  <si>
    <t>Ken Biggs Contractors LTD</t>
  </si>
  <si>
    <t>Ken Biggs Contractors LTD - Fabric Walls - Aluminium Frame System - RAL Powder coat Finish 32mm deep frame with mounting hardware. Silicon edge CNC cut Fabric Surface - Ultrasuede XL in Raspberry. Details as per full Proposal</t>
  </si>
  <si>
    <t>#SR241151</t>
  </si>
  <si>
    <t>Ken Biggs Contractors LTD - Aluminium Sub Framework to include all mounting hardware to mount to sub structure for the Fabricwalls fabric panels</t>
  </si>
  <si>
    <t>Ken Biggs Contractors LTD - 3D Layout Drawings, Leasing with Design Team and Suppliers of Oak Elements</t>
  </si>
  <si>
    <t>Ken Biggs Contractors LTD - Ultrasuede XL - 5566 Raspberry</t>
  </si>
  <si>
    <t>#SR241165</t>
  </si>
  <si>
    <t>Ken Biggs Contractors LTD - Skirting boards wrapped with Ultrasuade XL Rasberry (Front and Back)</t>
  </si>
  <si>
    <t>Ken Biggs Contractors LTD - AV Room Door Handle and Aluminium Strip Custom made and RAL Powder Coated</t>
  </si>
  <si>
    <t>Ken Biggs Contractors LTD - 18mm Aluminium Frame RAL Powdercoted with Ultatrsuede (Room Door)</t>
  </si>
  <si>
    <t>Ken Biggs Contractors LTD - Aluminium Panel wrapped in Ultrasuede with Bonded Button Fixings (AV Room Door)</t>
  </si>
  <si>
    <t>Total Ken Biggs Contractors LTD</t>
  </si>
  <si>
    <t>Kitchen Architecture</t>
  </si>
  <si>
    <t>Kitchen Architecture - Ultrasuede HP - Colour Matched to XL 2550-5566 Raspberry (3 x 30m Rolls)</t>
  </si>
  <si>
    <t>#SR241171</t>
  </si>
  <si>
    <t>Kitchen Architecture - FR Treatment to Ultrasuade HP</t>
  </si>
  <si>
    <t>Total Kitchen Architecture</t>
  </si>
  <si>
    <t>Kiwi Smarthaus e.U.</t>
  </si>
  <si>
    <t>Kiwi Smarthaus e.U. - Ultrasuede LX - CA5 - Ivory</t>
  </si>
  <si>
    <t>#SR241188</t>
  </si>
  <si>
    <t>Total Kiwi Smarthaus e.U.</t>
  </si>
  <si>
    <t>KL Consulting</t>
  </si>
  <si>
    <t>KL Consulting - Frontier - 3700-1.78-IS-ATS</t>
  </si>
  <si>
    <t>#SR241199</t>
  </si>
  <si>
    <t>Total KL Consulting</t>
  </si>
  <si>
    <t>Labiib Solutions</t>
  </si>
  <si>
    <t>Labiib Solutions - Enhanced Design Package</t>
  </si>
  <si>
    <t>#SR241051</t>
  </si>
  <si>
    <t>Total Labiib Solutions</t>
  </si>
  <si>
    <t>Le Groupe Prestige</t>
  </si>
  <si>
    <t>Le Groupe Prestige - Ceiling Mount</t>
  </si>
  <si>
    <t>#SR241206</t>
  </si>
  <si>
    <t>Le Groupe Prestige - Reflection Control Panel</t>
  </si>
  <si>
    <t>#SR241269</t>
  </si>
  <si>
    <t>Le Groupe Prestige - REVERBERATION CONTROL PANEL 50mm</t>
  </si>
  <si>
    <t>Le Groupe Prestige - Projector Port Hole (Double Glazed)</t>
  </si>
  <si>
    <t>#SR241298</t>
  </si>
  <si>
    <t>Total Le Groupe Prestige</t>
  </si>
  <si>
    <t>Lesley Lokko</t>
  </si>
  <si>
    <t>Lesley Lokko - DT-IS-R-ATS-360: image size 350x200cm</t>
  </si>
  <si>
    <t>#SR241337</t>
  </si>
  <si>
    <t>Total Lesley Lokko</t>
  </si>
  <si>
    <t>lewis@brief2build.com</t>
  </si>
  <si>
    <t>lewis@brief2build.com - Mimaki UJV 55-320 Printer Serial W48CE 464
Year of Manufacture 2018</t>
  </si>
  <si>
    <t>INV-0011</t>
  </si>
  <si>
    <t>Total lewis@brief2build.com</t>
  </si>
  <si>
    <t>Lighthouse</t>
  </si>
  <si>
    <t>Lighthouse - BARCO FREYA PLUS DCI CINEMA AT HOME PROJECTOR</t>
  </si>
  <si>
    <t>#SR241122</t>
  </si>
  <si>
    <t>Lighthouse - Freya+ EssentialCare +2 (5Y)</t>
  </si>
  <si>
    <t>Lighthouse - Wide Angle Zoom - Cinema at Home Lens 1 (1.58-2.41) - VHC</t>
  </si>
  <si>
    <t>Lighthouse - madVR Envy Extreme MK2</t>
  </si>
  <si>
    <t>Lighthouse - DT-PMT-CUSTOM</t>
  </si>
  <si>
    <t>Lighthouse - Commissioning Support - SRND DCI Display Products</t>
  </si>
  <si>
    <t>Lighthouse - DT Frontier + AT Studio - 6m wide 2.40 Aspect</t>
  </si>
  <si>
    <t>Lighthouse - MAG Theatron Hammer-12</t>
  </si>
  <si>
    <t>#SR241189</t>
  </si>
  <si>
    <t>Lighthouse - MAG Theatron M8-C - Black</t>
  </si>
  <si>
    <t>Lighthouse - MAG Theatron M8-LR - Black</t>
  </si>
  <si>
    <t>Lighthouse - MAG Theatron S6 - Black</t>
  </si>
  <si>
    <t>Lighthouse - MAG Theatron TDC-3200w Amplifier</t>
  </si>
  <si>
    <t>Lighthouse - MAG Theatron WMT12 WMT-12 custom built for ceiling mounting</t>
  </si>
  <si>
    <t>Total Lighthouse</t>
  </si>
  <si>
    <t>Lighting Audio Video Projects</t>
  </si>
  <si>
    <t>Lighting Audio Video Projects - PixLite® A4-S Mk3</t>
  </si>
  <si>
    <t>#SR241314</t>
  </si>
  <si>
    <t>Lighting Audio Video Projects - RGBW 16 bits 60/20 LEDs M 12V 5M - 300 LEDs - For outdoors</t>
  </si>
  <si>
    <t>Lighting Audio Video Projects - Meanwell 12V - 350w (UHP-350-12)</t>
  </si>
  <si>
    <t>Total Lighting Audio Video Projects</t>
  </si>
  <si>
    <t>Link It Solutions Ltd</t>
  </si>
  <si>
    <t>Link It Solutions Ltd - 50MOTD Fabric Track - 10</t>
  </si>
  <si>
    <t>#SR241296</t>
  </si>
  <si>
    <t>Link It Solutions Ltd - 20MOTD Fabric Track - 10</t>
  </si>
  <si>
    <t>Total Link It Solutions Ltd</t>
  </si>
  <si>
    <t>Link Media Systems Projects Limited</t>
  </si>
  <si>
    <t>Link Media Systems Projects Limited - Vertical Projector Mirror Mount</t>
  </si>
  <si>
    <t>#SR241277</t>
  </si>
  <si>
    <t>Link Media Systems Projects Limited - DT Dynamic tension bands</t>
  </si>
  <si>
    <t>#SR241333</t>
  </si>
  <si>
    <t>Total Link Media Systems Projects Limited</t>
  </si>
  <si>
    <t>Loop Associates</t>
  </si>
  <si>
    <t>Loop Associates - Contempo - (D#Q7YAWW6)</t>
  </si>
  <si>
    <t>#SR241021</t>
  </si>
  <si>
    <t>Total Loop Associates</t>
  </si>
  <si>
    <t>LSI Projects Ltd</t>
  </si>
  <si>
    <t>LSI Projects Ltd - Projector Port Hole (Double Glazed)</t>
  </si>
  <si>
    <t>#SR241002</t>
  </si>
  <si>
    <t>Total LSI Projects Ltd</t>
  </si>
  <si>
    <t>LUIS ARMANDO PRIEGO RAMOS MANZANILLA</t>
  </si>
  <si>
    <t>LUIS ARMANDO PRIEGO RAMOS MANZANILLA - Downpayment for FW Mexico City showroom</t>
  </si>
  <si>
    <t>#SR241219</t>
  </si>
  <si>
    <t>Total LUIS ARMANDO PRIEGO RAMOS MANZANILLA</t>
  </si>
  <si>
    <t>Luis Priego</t>
  </si>
  <si>
    <t>Luis Priego - Payment for order SR241186</t>
  </si>
  <si>
    <t>#SR241240</t>
  </si>
  <si>
    <t>Total Luis Priego</t>
  </si>
  <si>
    <t>Magdalen College Oxford</t>
  </si>
  <si>
    <t>Magdalen College Oxford - Projector Port Hole (Single Glazed)</t>
  </si>
  <si>
    <t>#SR241030</t>
  </si>
  <si>
    <t>Total Magdalen College Oxford</t>
  </si>
  <si>
    <t>Martins Hifi</t>
  </si>
  <si>
    <t>Martins Hifi - ATStudio Screen Surface - Screen 3450mm x 2000mm</t>
  </si>
  <si>
    <t>#SR241099</t>
  </si>
  <si>
    <t>Martins Hifi - DT-HB-E - Enthusiast HB with integrated airflow management system</t>
  </si>
  <si>
    <t>#SR241321</t>
  </si>
  <si>
    <t>Total Martins Hifi</t>
  </si>
  <si>
    <t>McAllister AV Ltd.</t>
  </si>
  <si>
    <t>McAllister AV Ltd. - Projector Port Hole (Double Glazed)</t>
  </si>
  <si>
    <t>#SR241005</t>
  </si>
  <si>
    <t>McAllister AV Ltd. - BAR-MED-WAZ - Lens upgrade</t>
  </si>
  <si>
    <t>#SR241018</t>
  </si>
  <si>
    <t>McAllister AV Ltd. - Handling for return of previous UWAZ Lens</t>
  </si>
  <si>
    <t>Total McAllister AV Ltd.</t>
  </si>
  <si>
    <t>Meridian Audio</t>
  </si>
  <si>
    <t>Meridian Audio - Reflection Control Panel</t>
  </si>
  <si>
    <t>#SR241183</t>
  </si>
  <si>
    <t>#SR241209</t>
  </si>
  <si>
    <t>Meridian Audio - REVERBERATION CONTROL PANEL 50mm</t>
  </si>
  <si>
    <t>#SR241212</t>
  </si>
  <si>
    <t>#SR241230</t>
  </si>
  <si>
    <t>Total Meridian Audio</t>
  </si>
  <si>
    <t>Meridian Dynamics Sagl</t>
  </si>
  <si>
    <t>Meridian Dynamics Sagl - Reflection Control Panel</t>
  </si>
  <si>
    <t>#SR241019</t>
  </si>
  <si>
    <t>Meridian Dynamics Sagl - REVERBERATION CONTROL PANEL 50mm</t>
  </si>
  <si>
    <t>Total Meridian Dynamics Sagl</t>
  </si>
  <si>
    <t>Midwich Limited</t>
  </si>
  <si>
    <t>Midwich Limited - M8- LR-4 x Qty 3
M8– C4 x Qty 1
L-12D x Qty 2
M12 R x Qty1
M12 C x Qty 1
M12 L x Qty 1
Hammer WMT-12D x Qty 2
 S8 Grill x Qty 1 (2pieces in box)
 TDC – 1200W x Qty 1
TDC – 3200W x Qty 2</t>
  </si>
  <si>
    <t>INV-0020</t>
  </si>
  <si>
    <t>Total Midwich Limited</t>
  </si>
  <si>
    <t>MoreSenz B.V.</t>
  </si>
  <si>
    <t>MoreSenz B.V. - DT-ENT-HB for JVC NZ700</t>
  </si>
  <si>
    <t>#SR241267</t>
  </si>
  <si>
    <t>Total MoreSenz B.V.</t>
  </si>
  <si>
    <t>Needle</t>
  </si>
  <si>
    <t>Needle - Bragi Cinema Projector</t>
  </si>
  <si>
    <t>#SR241161</t>
  </si>
  <si>
    <t>Needle - EN63 - Wide Angle Zoom Lens option (1.20-1.70)</t>
  </si>
  <si>
    <t>Needle - Motorised Mirror Drop</t>
  </si>
  <si>
    <t>Needle - Commissioning Support - SRND Display Products</t>
  </si>
  <si>
    <t>Needle - Contempo - (D#GLLXS2J)</t>
  </si>
  <si>
    <t>Total Needle</t>
  </si>
  <si>
    <t>Neil Davidson</t>
  </si>
  <si>
    <t>Apex Tech Scotland Ltd - Davy Currie Consulting Time</t>
  </si>
  <si>
    <t>INV-0003</t>
  </si>
  <si>
    <t>Total Neil Davidson</t>
  </si>
  <si>
    <t>New Wave AV</t>
  </si>
  <si>
    <t>New Wave AV - Advatek T8</t>
  </si>
  <si>
    <t>#SR241274</t>
  </si>
  <si>
    <t>New Wave AV - Pixel LED Tape - 12v RGBW</t>
  </si>
  <si>
    <t>#SR241349</t>
  </si>
  <si>
    <t>New Wave AV - PixLite® A4-S Mk3</t>
  </si>
  <si>
    <t>New Wave AV - LW-PSU-MW-12V-350W - Meanwell 12V - 350w (UHP-350-12)</t>
  </si>
  <si>
    <t>New Wave AV - Dynamic 2TB - Top and Bottom Masking Screen - (D#WX0RZO9)</t>
  </si>
  <si>
    <t>#SR241356</t>
  </si>
  <si>
    <t>New Wave AV - Hush Box - Small - Left and Rear (L) / 150mm</t>
  </si>
  <si>
    <t>Total New Wave AV</t>
  </si>
  <si>
    <t>NV&amp;B CONSTRUCTION LTD</t>
  </si>
  <si>
    <t>NV&amp;B CONSTRUCTION LTD - REVERBERATION CONTROL PANEL 50mm</t>
  </si>
  <si>
    <t>#SR241236</t>
  </si>
  <si>
    <t>NV&amp;B CONSTRUCTION LTD - 25mm Foam Panels - 2000mm x 1000mm</t>
  </si>
  <si>
    <t>#SR241253</t>
  </si>
  <si>
    <t>#SR241256</t>
  </si>
  <si>
    <t>NV&amp;B CONSTRUCTION LTD - 50mm Foam Panels - 2000 x 1000</t>
  </si>
  <si>
    <t>NV&amp;B CONSTRUCTION LTD - Additional Charge for Urgent Delivery on original 25mm panels</t>
  </si>
  <si>
    <t>#SR241288</t>
  </si>
  <si>
    <t>Total NV&amp;B CONSTRUCTION LTD</t>
  </si>
  <si>
    <t>OKTO Integrated Services Ltd</t>
  </si>
  <si>
    <t>OKTO Integrated Services Ltd - Vertical Projector Mirror Mount</t>
  </si>
  <si>
    <t>#SR241368</t>
  </si>
  <si>
    <t>OKTO Integrated Services Ltd - Projector Port Hole (Single Glazed)</t>
  </si>
  <si>
    <t>Total OKTO Integrated Services Ltd</t>
  </si>
  <si>
    <t>One Diversified Netherlands B.V.</t>
  </si>
  <si>
    <t>One Diversified Netherlands B.V. - Motorised Mirror Drop - Small</t>
  </si>
  <si>
    <t>#SR241261</t>
  </si>
  <si>
    <t>Total One Diversified Netherlands B.V.</t>
  </si>
  <si>
    <t>ONEXP</t>
  </si>
  <si>
    <t>ONEXP - DT-IS-ATP-450 (4339 x 1831mm image size)</t>
  </si>
  <si>
    <t>#SR241041</t>
  </si>
  <si>
    <t>ONEXP - DT fabric tool</t>
  </si>
  <si>
    <t>ONEXP - DT custom porthole glass only - 240 x 200 x 6mm</t>
  </si>
  <si>
    <t>#SR241204</t>
  </si>
  <si>
    <t>ONEXP - DT-S-TENSION - Replacement Tension bands for DYN-2S-2339-2.37</t>
  </si>
  <si>
    <t>#SR241348</t>
  </si>
  <si>
    <t>Total ONEXP</t>
  </si>
  <si>
    <t>Orchestral Limited</t>
  </si>
  <si>
    <t>Orchestral Limited - 10COCL Fabric Track - 10</t>
  </si>
  <si>
    <t>#SR241264</t>
  </si>
  <si>
    <t>Orchestral Limited - 10COTD Fabric Track - 10</t>
  </si>
  <si>
    <t>#SR241312</t>
  </si>
  <si>
    <t>Total Orchestral Limited</t>
  </si>
  <si>
    <t>Out of Hour AV</t>
  </si>
  <si>
    <t>Out of Hour AV - Ultrasuede XL sample - 1544 Aluminium</t>
  </si>
  <si>
    <t>#SR241259</t>
  </si>
  <si>
    <t>Out of Hour AV - Ultrasuede XL sample - 1545 Silver Gray</t>
  </si>
  <si>
    <t>Out of Hour AV - Ultrasuede XL sample - 3541 Gray Mist</t>
  </si>
  <si>
    <t>Out of Hour AV - Ultrasuede XL sample - 5540 Steel Gray</t>
  </si>
  <si>
    <t>Out of Hour AV - Ultrasuede XL sample - 5548 Asphalt</t>
  </si>
  <si>
    <t>Out of Hour AV - Ultrasuede XL sample - 5788 Charcoal</t>
  </si>
  <si>
    <t>Out of Hour AV - Ultrasuede XL - 5540 Steel Gray</t>
  </si>
  <si>
    <t>#SR241265</t>
  </si>
  <si>
    <t>Out of Hour AV - PixLite® A4-S Mk3</t>
  </si>
  <si>
    <t>Out of Hour AV - 10MOTD Fabric Track Black - 10</t>
  </si>
  <si>
    <t>#SR241297</t>
  </si>
  <si>
    <t>Total Out of Hour AV</t>
  </si>
  <si>
    <t>Pedro Barbosa</t>
  </si>
  <si>
    <t>Pedro Barbosa - Dynamic 4 - 4-Way Masking Screen - (D#HULY1BD)</t>
  </si>
  <si>
    <t>#SR241148</t>
  </si>
  <si>
    <t>Total Pedro Barbosa</t>
  </si>
  <si>
    <t>Perfect Integration Ltd</t>
  </si>
  <si>
    <t>Perfect Integration Ltd - MMD v1 Actuator and Control upgrade (factory return)</t>
  </si>
  <si>
    <t>#SR241006</t>
  </si>
  <si>
    <t>Perfect Integration Ltd - Vertical Projector Mount</t>
  </si>
  <si>
    <t>#SR241007</t>
  </si>
  <si>
    <t>Perfect Integration Ltd - Barco Medea Projector - GLD3 - Standard Zoom Lens Option (1.35-2.00)</t>
  </si>
  <si>
    <t>#SR241020</t>
  </si>
  <si>
    <t>Perfect Integration Ltd - Reflection Control Panel</t>
  </si>
  <si>
    <t>#SR241037</t>
  </si>
  <si>
    <t>Perfect Integration Ltd - RESONANCE CONTROL PANEL</t>
  </si>
  <si>
    <t>#SR241036</t>
  </si>
  <si>
    <t>Perfect Integration Ltd - REVERBERATION CONTROL PANEL 50mm</t>
  </si>
  <si>
    <t>Perfect Integration Ltd - Dynamic Masking Screen - Tension Bands - DYN-2S-410</t>
  </si>
  <si>
    <t>#SR241157</t>
  </si>
  <si>
    <t>Perfect Integration Ltd - Masking Screen - Tension Bands - DT-DYN-2S-360</t>
  </si>
  <si>
    <t>#SR241226</t>
  </si>
  <si>
    <t>Perfect Integration Ltd - Dynamic Masking Motors</t>
  </si>
  <si>
    <t>#SR241273</t>
  </si>
  <si>
    <t>Total Perfect Integration Ltd</t>
  </si>
  <si>
    <t>Photo &amp; Data Image DeBoot</t>
  </si>
  <si>
    <t>Photo &amp; Data Image DeBoot - Vertical Projector Mount</t>
  </si>
  <si>
    <t>#SR241003</t>
  </si>
  <si>
    <t>Photo &amp; Data Image DeBoot - Projector Port Hole Small (Single Glazed)</t>
  </si>
  <si>
    <t>#SR241114</t>
  </si>
  <si>
    <t>Total Photo &amp; Data Image DeBoot</t>
  </si>
  <si>
    <t>Plafond Sébastien Dhennin EIRL</t>
  </si>
  <si>
    <t>Plafond Sébastien Dhennin EIRL - Reflection Control Panel</t>
  </si>
  <si>
    <t>#SR241047</t>
  </si>
  <si>
    <t>#SR241132</t>
  </si>
  <si>
    <t>#SR241150</t>
  </si>
  <si>
    <t>#SR241343</t>
  </si>
  <si>
    <t>Total Plafond Sébastien Dhennin EIRL</t>
  </si>
  <si>
    <t>Planar UK Limited</t>
  </si>
  <si>
    <t>Planar UK Limited - SRND-FW-ALU-2420-842</t>
  </si>
  <si>
    <t>#SR241192</t>
  </si>
  <si>
    <t>Planar UK Limited - SRND-FW-ALU-2305-540</t>
  </si>
  <si>
    <t>Planar UK Limited - SRND-FW-ALU-3122-385</t>
  </si>
  <si>
    <t>Planar UK Limited - SRND-FW-ALU-2305-1150</t>
  </si>
  <si>
    <t>Planar UK Limited - SRND-FW-ALU-3000-940</t>
  </si>
  <si>
    <t>Planar UK Limited - SRND-FW-ALU-2305-450</t>
  </si>
  <si>
    <t>Planar UK Limited - SRND-FW-ALU-Curved-725</t>
  </si>
  <si>
    <t>Planar UK Limited - On Site Installation</t>
  </si>
  <si>
    <t>Total Planar UK Limited</t>
  </si>
  <si>
    <t>PlanPro OÜ</t>
  </si>
  <si>
    <t>PlanPro OÜ - Vertical Projector Mirror Mount - XL</t>
  </si>
  <si>
    <t>#SR241125</t>
  </si>
  <si>
    <t>Total PlanPro OÜ</t>
  </si>
  <si>
    <t>Potters Home Digital</t>
  </si>
  <si>
    <t>Potters Home Digital - Sylvox Cinema Pro 75" TV OQ75A3KOHK-UK</t>
  </si>
  <si>
    <t>#SR241243</t>
  </si>
  <si>
    <t>Potters Home Digital - OQ75A3KOHK-UK - Sylvox Cinema Pro 75"</t>
  </si>
  <si>
    <t>#SR241305</t>
  </si>
  <si>
    <t>Total Potters Home Digital</t>
  </si>
  <si>
    <t>Premier Film</t>
  </si>
  <si>
    <t>Premier Film - Projector Port Hole Small (Single Glazed)</t>
  </si>
  <si>
    <t>#SR241078</t>
  </si>
  <si>
    <t>Premier Film - Pixel LED Tape - 12v RGBW</t>
  </si>
  <si>
    <t>#SR241079</t>
  </si>
  <si>
    <t>Premier Film - LW-PSU-MW-12V-350W PSU 12V 350W</t>
  </si>
  <si>
    <t>Premier Film - PixLite® A4-S Mk3</t>
  </si>
  <si>
    <t>Total Premier Film</t>
  </si>
  <si>
    <t>Prestige Audio Ltd</t>
  </si>
  <si>
    <t>Prestige Audio Ltd - Frontier - (D#D1CP61I)</t>
  </si>
  <si>
    <t>#SR241281</t>
  </si>
  <si>
    <t>Prestige Audio Ltd - Projector Port Hole (Single Glazed)</t>
  </si>
  <si>
    <t>#SR241282</t>
  </si>
  <si>
    <t>Total Prestige Audio Ltd</t>
  </si>
  <si>
    <t>proAV limited</t>
  </si>
  <si>
    <t>proAV limited - STH-LR8G (Pair)</t>
  </si>
  <si>
    <t>#SR241008</t>
  </si>
  <si>
    <t>proAV limited - Contempo - (D#KY5WZKM)</t>
  </si>
  <si>
    <t>#SR241092</t>
  </si>
  <si>
    <t>proAV limited - Leadenhall Audio and Video Calibration</t>
  </si>
  <si>
    <t>#SR241272</t>
  </si>
  <si>
    <t>proAV limited - DT-CNTP-330 - Contempo - W3260 x H1830 viewing area - ATStudio</t>
  </si>
  <si>
    <t>#SR241315</t>
  </si>
  <si>
    <t>proAV limited - Hush Box - Medium Plus - Left and Rear (L) / 250mm</t>
  </si>
  <si>
    <t>#SR241347</t>
  </si>
  <si>
    <t>proAV limited - 20% Rush fee for the Hush Boxes</t>
  </si>
  <si>
    <t>proAV limited - Mistral Commander - Fan Controller 2 Zone</t>
  </si>
  <si>
    <t>Total proAV limited</t>
  </si>
  <si>
    <t>Proxitel</t>
  </si>
  <si>
    <t>Proxitel - Vertical Projector Mirror Mount</t>
  </si>
  <si>
    <t>#SR241066</t>
  </si>
  <si>
    <t>Proxitel - DAP Express shipping DHL</t>
  </si>
  <si>
    <t>#SR241067</t>
  </si>
  <si>
    <t>Total Proxitel</t>
  </si>
  <si>
    <t>Quinn London Ltd</t>
  </si>
  <si>
    <t>Quinn London Ltd - Projector Port Hole (Single Glazed)</t>
  </si>
  <si>
    <t>#SR241082</t>
  </si>
  <si>
    <t>Total Quinn London Ltd</t>
  </si>
  <si>
    <t>Raid Systems Ltd</t>
  </si>
  <si>
    <t>Raid Systems Ltd - PhaseTech CI7.3x</t>
  </si>
  <si>
    <t>#SR241141</t>
  </si>
  <si>
    <t>Raid Systems Ltd - PhaseTech CI120</t>
  </si>
  <si>
    <t>Total Raid Systems Ltd</t>
  </si>
  <si>
    <t>Richer Sounds</t>
  </si>
  <si>
    <t>Richer Sounds - Vertical Projector Mirror Mount</t>
  </si>
  <si>
    <t>#SR241085</t>
  </si>
  <si>
    <t>Total Richer Sounds</t>
  </si>
  <si>
    <t>RMC London Ltd</t>
  </si>
  <si>
    <t>RMC London Ltd - I600-4K8 Projector</t>
  </si>
  <si>
    <t>#SR241120</t>
  </si>
  <si>
    <t>RMC London Ltd - ILD6 - Standard Zoom Lens Option (1.40-2.10)</t>
  </si>
  <si>
    <t>RMC London Ltd - Mad VR Envy Core</t>
  </si>
  <si>
    <t>RMC London Ltd - DT-DYN-AM-335-2.4-ATR</t>
  </si>
  <si>
    <t>RMC London Ltd - Commissioning Support - SRND Display Products</t>
  </si>
  <si>
    <t>RMC London Ltd - Vertical Projector Mirror Mount</t>
  </si>
  <si>
    <t>#SR241341</t>
  </si>
  <si>
    <t>RMC London Ltd - DT-FRNT-420 - Size TBC</t>
  </si>
  <si>
    <t>RMC London Ltd - MAG Theatron TDC-3200w Amplifier</t>
  </si>
  <si>
    <t>RMC London Ltd - MAG Theatron M8-LR - Black</t>
  </si>
  <si>
    <t>RMC London Ltd - MAG Theatron M8-C - Black</t>
  </si>
  <si>
    <t>RMC London Ltd - MAG Theatron S6 - Black</t>
  </si>
  <si>
    <t>RMC London Ltd - MAG Theatron S4 - Black</t>
  </si>
  <si>
    <t>RMC London Ltd - MAG Theatron Hammer-12</t>
  </si>
  <si>
    <t>RMC London Ltd - MAGT-WMT-12D wall mount</t>
  </si>
  <si>
    <t>RMC London Ltd - MAGT-WMT-20 wall mount</t>
  </si>
  <si>
    <t>Total RMC London Ltd</t>
  </si>
  <si>
    <t>Roelandschap Audio Video Engineering</t>
  </si>
  <si>
    <t>Roelandschap Audio Video Engineering - VMM-XL custom mirror</t>
  </si>
  <si>
    <t>#SR241045</t>
  </si>
  <si>
    <t>Total Roelandschap Audio Video Engineering</t>
  </si>
  <si>
    <t>S M CONTRACTS LTD</t>
  </si>
  <si>
    <t>S M CONTRACTS LTD - Barco Thor Annual Service - Parts and Labour</t>
  </si>
  <si>
    <t>#SR241086</t>
  </si>
  <si>
    <t>S M CONTRACTS LTD - Additional Charges for Second Visit</t>
  </si>
  <si>
    <t>S M CONTRACTS LTD - Tension Band Set for Dynamic Mask Screen - 7167mm Wide</t>
  </si>
  <si>
    <t>#SR241095</t>
  </si>
  <si>
    <t>S M CONTRACTS LTD - Infinity DCI Cinema LED Wall - 2K</t>
  </si>
  <si>
    <t>#SR241197</t>
  </si>
  <si>
    <t>Sales - Materials - LED Video Walls</t>
  </si>
  <si>
    <t>S M CONTRACTS LTD - Dolby IMS3000 DCI Playback Server 2TB</t>
  </si>
  <si>
    <t>S M CONTRACTS LTD - Mad VR Envy Core</t>
  </si>
  <si>
    <t>S M CONTRACTS LTD - DT-POM-LED Custom pull out mount for rear access to the DVLED display</t>
  </si>
  <si>
    <t>Total S M CONTRACTS LTD</t>
  </si>
  <si>
    <t>Sarah Woods</t>
  </si>
  <si>
    <t>Sarah Woods - #Quelle Reve DCI - 10% Aditional Deposit</t>
  </si>
  <si>
    <t>#SR241163</t>
  </si>
  <si>
    <t>Total Sarah Woods</t>
  </si>
  <si>
    <t>SAS EAS INGENIERIE</t>
  </si>
  <si>
    <t>SAS EAS INGENIERIE - Tension bands kit for DYN-2S-510</t>
  </si>
  <si>
    <t>#SR241289</t>
  </si>
  <si>
    <t>Total SAS EAS INGENIERIE</t>
  </si>
  <si>
    <t>SCP Galileo</t>
  </si>
  <si>
    <t>SCP Galileo - Acoustic Treatment Design Service - Basic</t>
  </si>
  <si>
    <t>#SR241359</t>
  </si>
  <si>
    <t>Total SCP Galileo</t>
  </si>
  <si>
    <t>Sevenoaks Sound and Vision</t>
  </si>
  <si>
    <t>Sevenoaks Sound and Vision - REVERBERATION CONTROL PANEL 50mm</t>
  </si>
  <si>
    <t>#SR241131</t>
  </si>
  <si>
    <t>Sevenoaks Sound and Vision - Reflection Control Panel</t>
  </si>
  <si>
    <t>Total Sevenoaks Sound and Vision</t>
  </si>
  <si>
    <t>Sigma Design Ltd</t>
  </si>
  <si>
    <t>Sigma Design Ltd - Reflection Control Panel</t>
  </si>
  <si>
    <t>#SR241327</t>
  </si>
  <si>
    <t>Total Sigma Design Ltd</t>
  </si>
  <si>
    <t>Skarcon OÜ</t>
  </si>
  <si>
    <t>Skarcon OÜ - Mistral Commander - Fan Controller 2 Zone</t>
  </si>
  <si>
    <t>#SR241187</t>
  </si>
  <si>
    <t>Skarcon OÜ - Mistral-200 Inline Fan</t>
  </si>
  <si>
    <t>Skarcon OÜ - Hush Box - Medium - Left and Rear (L) / 200mm</t>
  </si>
  <si>
    <t>Total Skarcon OÜ</t>
  </si>
  <si>
    <t>Smart Technology Advisers</t>
  </si>
  <si>
    <t>Smart Technology Advisers - Custom front for Wisdom soundbar</t>
  </si>
  <si>
    <t>#SR241300</t>
  </si>
  <si>
    <t>Total Smart Technology Advisers</t>
  </si>
  <si>
    <t>Smart Technology Advisers Ltd</t>
  </si>
  <si>
    <t xml:space="preserve">Smart Technology Advisers Ltd - MMD-XL Marine With Active Isolation and air handeling Stage 1 – Conceptual analysis design and space planning
Produce a set of drawings to prove the technical feasibility to include the space allocation, external dimensions, fixing locations and requirements.
</t>
  </si>
  <si>
    <t>INV-0002</t>
  </si>
  <si>
    <t>Sales - Services - Product Design</t>
  </si>
  <si>
    <t>Total Smart Technology Advisers Ltd</t>
  </si>
  <si>
    <t>Sorenson DIGITAL</t>
  </si>
  <si>
    <t>Sorenson DIGITAL - DT Dynamic tension bands kit (2 units)</t>
  </si>
  <si>
    <t>#SR241208</t>
  </si>
  <si>
    <t>Sorenson DIGITAL - DT black backing for 370 image 2.37</t>
  </si>
  <si>
    <t>Sorenson DIGITAL - DT-IS-R-ATR-390 - 370 wide in 2.37 - no silicon edge</t>
  </si>
  <si>
    <t>#SR241323</t>
  </si>
  <si>
    <t>Total Sorenson DIGITAL</t>
  </si>
  <si>
    <t>SorensonDIGITAL</t>
  </si>
  <si>
    <t>SorensonDIGITAL - Vertical Projector Mirror Mount</t>
  </si>
  <si>
    <t>#SR241156</t>
  </si>
  <si>
    <t>Total SorensonDIGITAL</t>
  </si>
  <si>
    <t>Special-Elektronik AB</t>
  </si>
  <si>
    <t>Special-Elektronik AB - Mask 2s - Side Masking Projection Screen - 2.4:1 Aspect - 135" / ATStudio - White Knitted Screen Surface - Acoustic Transparent</t>
  </si>
  <si>
    <t>#SR241238</t>
  </si>
  <si>
    <t>Total Special-Elektronik AB</t>
  </si>
  <si>
    <t>Specialty Theatre</t>
  </si>
  <si>
    <t>Specialty Theatre - Fabric Walls Tool - Set</t>
  </si>
  <si>
    <t>#SR241229</t>
  </si>
  <si>
    <t>#SR241251</t>
  </si>
  <si>
    <t>Total Specialty Theatre</t>
  </si>
  <si>
    <t>Stereolabs</t>
  </si>
  <si>
    <t>Total Stereolabs</t>
  </si>
  <si>
    <t>Stone Audio</t>
  </si>
  <si>
    <t>Stone Audio - Dynamic Masking Screen - Tension Bands</t>
  </si>
  <si>
    <t>#SR241172</t>
  </si>
  <si>
    <t>Total Stone Audio</t>
  </si>
  <si>
    <t>Store Holdings South Ltd</t>
  </si>
  <si>
    <t>Store Holdings South Ltd - Sound Isolation Project Discovery</t>
  </si>
  <si>
    <t>INV-5015</t>
  </si>
  <si>
    <t>Store Holdings South Ltd - Sound Isolation Build Guide</t>
  </si>
  <si>
    <t>Store Holdings South Ltd - Sound Isolation Details</t>
  </si>
  <si>
    <t>Store Holdings South Ltd - Sound Isolation BOM</t>
  </si>
  <si>
    <t>Store Holdings South Ltd - Sound Isolation Project Drawings</t>
  </si>
  <si>
    <t>Store Holdings South Ltd - Technical Architecture Project Discovery</t>
  </si>
  <si>
    <t>Store Holdings South Ltd - Technical Architecture Design Package</t>
  </si>
  <si>
    <t>Store Holdings South Ltd - AV Systems Project Discovery</t>
  </si>
  <si>
    <t>Store Holdings South Ltd - AV Systems Design Package</t>
  </si>
  <si>
    <t>Total Store Holdings South Ltd</t>
  </si>
  <si>
    <t>Studio Electronica</t>
  </si>
  <si>
    <t>Studio Electronica - Projector Port Hole (Single Glazed) Custom Size</t>
  </si>
  <si>
    <t>#SR241196</t>
  </si>
  <si>
    <t>Total Studio Electronica</t>
  </si>
  <si>
    <t>Sysco Productions Ltd</t>
  </si>
  <si>
    <t>Sysco Productions Ltd - Replacement Wrapped Aluminium profile cut to length and wrapped for Leadenhall project to PDF -  Leadenhall Replacement Profile Workings</t>
  </si>
  <si>
    <t>#SR241328</t>
  </si>
  <si>
    <t>Total Sysco Productions Ltd</t>
  </si>
  <si>
    <t>TD Sat &amp; Sound SL</t>
  </si>
  <si>
    <t>TD Sat &amp; Sound SL - Ceiling Mount</t>
  </si>
  <si>
    <t>#SR241198</t>
  </si>
  <si>
    <t>Total TD Sat &amp; Sound SL</t>
  </si>
  <si>
    <t>The Media Factory</t>
  </si>
  <si>
    <t>The Media Factory - Mad VR Envy Core</t>
  </si>
  <si>
    <t>#SR241145</t>
  </si>
  <si>
    <t>Total The Media Factory</t>
  </si>
  <si>
    <t>Thibault Pfohl</t>
  </si>
  <si>
    <t>Thibault Pfohl - Projector Port Hole (Double Glazed)</t>
  </si>
  <si>
    <t>#SR241379</t>
  </si>
  <si>
    <t>Total Thibault Pfohl</t>
  </si>
  <si>
    <t>THINK Group</t>
  </si>
  <si>
    <t>THINK Group - Bragi Cinema Cinemascope Projector</t>
  </si>
  <si>
    <t>#SR241185</t>
  </si>
  <si>
    <t>THINK Group - EN63 - Wide Angle Zoom Lens option (1.20-1.70)</t>
  </si>
  <si>
    <t>THINK Group - Ceiling Mount</t>
  </si>
  <si>
    <t>Total THINK Group</t>
  </si>
  <si>
    <t>Tillman Domotics</t>
  </si>
  <si>
    <t>Tillman Domotics - Hush Box M+ for Sony GTZ-380</t>
  </si>
  <si>
    <t>#SR241004</t>
  </si>
  <si>
    <t>Tillman Domotics - Projector Port Hole (Double Glazed)</t>
  </si>
  <si>
    <t>#SR241065</t>
  </si>
  <si>
    <t>Tillman Domotics - Vertical Projector Mirror Mount</t>
  </si>
  <si>
    <t>#SR241325</t>
  </si>
  <si>
    <t>Tillman Domotics - Mistral-200 Inline Fan</t>
  </si>
  <si>
    <t>#SR241345</t>
  </si>
  <si>
    <t>Tillman Domotics - Mistral Commander - Fan Controller 2 Zone</t>
  </si>
  <si>
    <t>Total Tillman Domotics</t>
  </si>
  <si>
    <t>Timestate Real Estate Construction Wholesale Clothing Foreign Trade Limited Company</t>
  </si>
  <si>
    <t>Timestate Real Estate Construction Wholesale Clothing Foreign Trade Limited Company - Balder Media Room Projector</t>
  </si>
  <si>
    <t>#SR241109</t>
  </si>
  <si>
    <t>Timestate Real Estate Construction Wholesale Clothing Foreign Trade Limited Company - EN66 - Ultra Wide Angle Zoom Lens option (0.80-1.21)</t>
  </si>
  <si>
    <t>Total Timestate Real Estate Construction Wholesale Clothing Foreign Trade Limited Company</t>
  </si>
  <si>
    <t>TNL Systems Ltd T/a The Next Level</t>
  </si>
  <si>
    <t>TNL Systems Ltd T/a The Next Level - 50MOTD Fabric Track - 10</t>
  </si>
  <si>
    <t>#SR241074</t>
  </si>
  <si>
    <t>#SR241081</t>
  </si>
  <si>
    <t>Total TNL Systems Ltd T/a The Next Level</t>
  </si>
  <si>
    <t>Van Berge Henegouwen Installaties B.V</t>
  </si>
  <si>
    <t>Van Berge Henegouwen Installaties B.V - DT-PHG-2C custom porthole double glazed - 250 x 250 mm</t>
  </si>
  <si>
    <t>#SR241013</t>
  </si>
  <si>
    <t>Van Berge Henegouwen Installaties B.V - Dynamic 4 - 4-Way Masking Screen - (D#EIZT0N6)</t>
  </si>
  <si>
    <t>#SR241076</t>
  </si>
  <si>
    <t>Van Berge Henegouwen Installaties B.V - Reflection Control Panel</t>
  </si>
  <si>
    <t>#SR241080</t>
  </si>
  <si>
    <t>Van Berge Henegouwen Installaties B.V - REVERBERATION CONTROL PANEL 50mm</t>
  </si>
  <si>
    <t>#SR241128</t>
  </si>
  <si>
    <t>#SR241130</t>
  </si>
  <si>
    <t>Van Berge Henegouwen Installaties B.V - Refund Discrepancy</t>
  </si>
  <si>
    <t>Van Berge Henegouwen Installaties B.V - Custom sized glass - Optical glass panel 15x15 cm (6mm thickness)</t>
  </si>
  <si>
    <t>#SR241159</t>
  </si>
  <si>
    <t>Van Berge Henegouwen Installaties B.V - Custom stainless steel HB to the size requested.</t>
  </si>
  <si>
    <t>#SR241221</t>
  </si>
  <si>
    <t>Van Berge Henegouwen Installaties B.V - DT Mini Frontier screen with 6 interchageable image surfaces and black backing</t>
  </si>
  <si>
    <t>#SR241257</t>
  </si>
  <si>
    <t>Van Berge Henegouwen Installaties B.V - Redesign of Custom HB</t>
  </si>
  <si>
    <t>#SR241276</t>
  </si>
  <si>
    <t>Total Van Berge Henegouwen Installaties B.V</t>
  </si>
  <si>
    <t>Wasserman Live</t>
  </si>
  <si>
    <t>Wasserman Live - Fabric Walls Tool - Rocker</t>
  </si>
  <si>
    <t>#SR241027</t>
  </si>
  <si>
    <t>Total Wasserman Live</t>
  </si>
  <si>
    <t>WebcentrikAV</t>
  </si>
  <si>
    <t>WebcentrikAV - Fabric Walls Tool - Set</t>
  </si>
  <si>
    <t>#SR241235</t>
  </si>
  <si>
    <t>WebcentrikAV - Ultrasuede XL - 5548 Asphalt</t>
  </si>
  <si>
    <t>Total WebcentrikAV</t>
  </si>
  <si>
    <t>What you See and Hear Ltd</t>
  </si>
  <si>
    <t>What you See and Hear Ltd - Wooden Backbox 22 - Medium</t>
  </si>
  <si>
    <t>#SR241040</t>
  </si>
  <si>
    <t>What you See and Hear Ltd - STH-LR8G – MEDIUM FORMAT 2 WAY INVISIBLE SPEAKER - PAIR</t>
  </si>
  <si>
    <t>#SR241043</t>
  </si>
  <si>
    <t>#SR241046</t>
  </si>
  <si>
    <t>What you See and Hear Ltd - STH-LR3G – LARGE FORMAT 3 WAY INVISIBLE SPEAKER - PAIR</t>
  </si>
  <si>
    <t>What you See and Hear Ltd - Metal Backbox 22 - Medium</t>
  </si>
  <si>
    <t>What you See and Hear Ltd - Metal Backbox 30 - Large</t>
  </si>
  <si>
    <t>What you See and Hear Ltd - STH-SLR8G – MEDIUM FORMAT DUAL STEREO INVISIBLE SPEAKER - SINGLE</t>
  </si>
  <si>
    <t>Total What you See and Hear Ltd</t>
  </si>
  <si>
    <t>Zagar Ltd</t>
  </si>
  <si>
    <t>Zagar Ltd - Dynamic 4-XL - 4-Way Extra Large Masking Screen - (D#XDP06SR)</t>
  </si>
  <si>
    <t>#SR241147</t>
  </si>
  <si>
    <t>Total Zagar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</si>
</sst>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 mmm yyyy"/>
    <numFmt numFmtId="165" formatCode="#,##0.00;(#,##0.00)"/>
  </numFmts>
  <fonts count="7">
    <font>
      <name val="Arial"/>
      <color theme="1"/>
      <sz val="9"/>
    </font>
    <font>
      <name val="Arial"/>
      <color theme="1"/>
      <sz val="14"/>
    </font>
    <font>
      <name val="Arial"/>
      <b/>
      <color theme="1"/>
      <sz val="14"/>
    </font>
    <font>
      <name val="Arial"/>
      <color theme="1"/>
      <sz val="12"/>
    </font>
    <font>
      <name val="Arial"/>
      <color theme="1"/>
      <sz val="10"/>
    </font>
    <font>
      <name val="Arial"/>
      <b/>
      <color theme="1"/>
      <sz val="10"/>
    </font>
    <font>
      <name val="Arial"/>
      <b/>
      <color theme="1"/>
      <sz val="9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true"/>
    <xf numFmtId="0" fontId="2" fillId="0" borderId="0" xfId="0" applyFont="true" applyAlignment="true">
      <alignment vertical="center"/>
    </xf>
    <xf numFmtId="0" fontId="3" fillId="0" borderId="0" xfId="0" applyFont="true"/>
    <xf numFmtId="0" fontId="3" fillId="0" borderId="0" xfId="0" applyFont="true" applyAlignment="true">
      <alignment vertical="center"/>
    </xf>
    <xf numFmtId="0" fontId="4" fillId="0" borderId="0" xfId="0" applyFont="true"/>
    <xf numFmtId="0" fontId="5" fillId="0" borderId="1" xfId="0" applyFont="true" applyBorder="true" applyAlignment="true">
      <alignment horizontal="left" vertical="center"/>
    </xf>
    <xf numFmtId="0" fontId="5" fillId="0" borderId="1" xfId="0" applyFont="true" applyBorder="true" applyAlignment="true">
      <alignment horizontal="right" vertical="center"/>
    </xf>
    <xf numFmtId="0" fontId="0" fillId="0" borderId="0" xfId="0" applyFont="true"/>
    <xf numFmtId="164" fontId="0" fillId="0" borderId="0" xfId="0" applyNumberFormat="true" applyFont="true" applyAlignment="true">
      <alignment horizontal="left" vertical="center"/>
    </xf>
    <xf numFmtId="0" fontId="0" fillId="0" borderId="0" xfId="0" applyFont="true" applyAlignment="true">
      <alignment vertical="center"/>
    </xf>
    <xf numFmtId="165" fontId="0" fillId="0" borderId="0" xfId="0" applyNumberFormat="true" applyFont="true" applyAlignment="true">
      <alignment horizontal="right" vertical="center"/>
    </xf>
    <xf numFmtId="164" fontId="0" fillId="0" borderId="2" xfId="0" applyNumberFormat="true" applyFont="true" applyBorder="true" applyAlignment="true">
      <alignment horizontal="left" vertical="center"/>
    </xf>
    <xf numFmtId="0" fontId="0" fillId="0" borderId="2" xfId="0" applyFont="true" applyBorder="true" applyAlignment="true">
      <alignment vertical="center"/>
    </xf>
    <xf numFmtId="165" fontId="0" fillId="0" borderId="2" xfId="0" applyNumberFormat="true" applyFont="true" applyBorder="true" applyAlignment="true">
      <alignment horizontal="right" vertical="center"/>
    </xf>
    <xf numFmtId="0" fontId="6" fillId="0" borderId="2" xfId="0" applyFont="true" applyBorder="true" applyAlignment="true">
      <alignment vertical="center"/>
    </xf>
    <xf numFmtId="165" fontId="6" fillId="0" borderId="2" xfId="0" applyNumberFormat="true" applyFont="true" applyBorder="true" applyAlignment="true">
      <alignment horizontal="right" vertical="center"/>
    </xf>
    <xf numFmtId="0" fontId="5" fillId="0" borderId="1" xfId="0" applyFont="true" applyBorder="true" applyAlignment="true">
      <alignment vertical="center"/>
    </xf>
    <xf numFmtId="0" fontId="0" fillId="0" borderId="0" xfId="0" applyFont="true" applyAlignment="true">
      <alignment vertical="center" wrapText="true"/>
    </xf>
    <xf numFmtId="0" fontId="0" fillId="0" borderId="2" xfId="0" applyFont="true" applyBorder="true" applyAlignment="true">
      <alignment vertical="center" wrapText="true"/>
    </xf>
    <xf numFmtId="0" fontId="6" fillId="2" borderId="3" xfId="0" applyFont="true" applyFill="true" applyBorder="true" applyAlignment="true">
      <alignment vertical="center"/>
    </xf>
    <xf numFmtId="165" fontId="6" fillId="2" borderId="3" xfId="0" applyNumberFormat="true" applyFont="true" applyFill="true" applyBorder="true" applyAlignment="true">
      <alignment horizontal="right" vertical="center"/>
    </xf>
  </cellXfs>
  <cellStyles count="1">
    <cellStyle name="Normal" xfId="0" builtinId="0" customBuiltin="true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J1200"/>
  <sheetViews>
    <sheetView tabSelected="1" workbookViewId="0" topLeftCell="A1" zoomScaleNormal="100" zoomScaleSheetLayoutView="60" showGridLines="0" zoomScale="100" view="normal"/>
  </sheetViews>
  <sheetFormatPr defaultRowHeight="12.75"/>
  <cols>
    <col min="1" max="1" width="95" customWidth="1"/>
    <col min="2" max="2" width="22" customWidth="1"/>
    <col min="3" max="3" width="100" customWidth="1"/>
    <col min="4" max="4" width="15.33203125" customWidth="1"/>
    <col min="5" max="5" width="11.33203125" customWidth="1"/>
    <col min="6" max="6" width="16.5" customWidth="1"/>
    <col min="7" max="7" width="17.5" customWidth="1"/>
    <col min="8" max="8" width="14.33203125" customWidth="1"/>
    <col min="9" max="9" width="15.33203125" customWidth="1"/>
    <col min="10" max="10" width="39.5" customWidth="1"/>
  </cols>
  <sheetData>
    <row r="1" ht="16.7" customHeight="true" customFormat="true" s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ht="14.4" customHeight="true" customFormat="true" s="3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</row>
    <row r="3" ht="14.4" customHeight="true" customFormat="true" s="3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</row>
    <row r="4" ht="13.35" customHeight="true"/>
    <row r="5" ht="12.1" customHeight="true" customFormat="true" s="5">
      <c r="A5" s="6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7" t="s">
        <v>8</v>
      </c>
      <c r="G5" s="7" t="s">
        <v>9</v>
      </c>
      <c r="H5" s="7" t="s">
        <v>10</v>
      </c>
      <c r="I5" s="7" t="s">
        <v>11</v>
      </c>
      <c r="J5" s="6" t="s">
        <v>12</v>
      </c>
    </row>
    <row r="6" ht="10.95" customHeight="true" customFormat="true" s="8">
      <c r="A6" s="9">
        <v>45747</v>
      </c>
      <c r="B6" s="10" t="s">
        <v>13</v>
      </c>
      <c r="C6" s="10" t="s">
        <v>14</v>
      </c>
      <c r="D6" s="10" t="s">
        <v>15</v>
      </c>
      <c r="E6" s="10" t="s">
        <v>16</v>
      </c>
      <c r="F6" s="11">
        <v>11838.2600</v>
      </c>
      <c r="G6" s="11">
        <v>0</v>
      </c>
      <c r="H6" s="11">
        <v>11838.2600</v>
      </c>
      <c r="I6" s="11">
        <v>0</v>
      </c>
      <c r="J6" s="10" t="s">
        <v>17</v>
      </c>
    </row>
    <row r="7" ht="10.95" customHeight="true" customFormat="true" s="8">
      <c r="A7" s="12">
        <v>45747</v>
      </c>
      <c r="B7" s="13" t="s">
        <v>13</v>
      </c>
      <c r="C7" s="13" t="s">
        <v>14</v>
      </c>
      <c r="D7" s="13" t="s">
        <v>15</v>
      </c>
      <c r="E7" s="13" t="s">
        <v>16</v>
      </c>
      <c r="F7" s="14">
        <v>4110.5100</v>
      </c>
      <c r="G7" s="14">
        <v>0</v>
      </c>
      <c r="H7" s="14">
        <v>4110.5100</v>
      </c>
      <c r="I7" s="14">
        <v>0</v>
      </c>
      <c r="J7" s="13" t="s">
        <v>17</v>
      </c>
    </row>
    <row r="8" ht="10.95" customHeight="true" customFormat="true" s="8">
      <c r="A8" s="12">
        <v>45747</v>
      </c>
      <c r="B8" s="13" t="s">
        <v>13</v>
      </c>
      <c r="C8" s="13" t="s">
        <v>14</v>
      </c>
      <c r="D8" s="13" t="s">
        <v>15</v>
      </c>
      <c r="E8" s="13" t="s">
        <v>16</v>
      </c>
      <c r="F8" s="14">
        <v>5544.5500</v>
      </c>
      <c r="G8" s="14">
        <v>0</v>
      </c>
      <c r="H8" s="14">
        <v>5544.5500</v>
      </c>
      <c r="I8" s="14">
        <v>0</v>
      </c>
      <c r="J8" s="13" t="s">
        <v>18</v>
      </c>
    </row>
    <row r="9" ht="10.95" customHeight="true" customFormat="true" s="8">
      <c r="A9" s="12">
        <v>45747</v>
      </c>
      <c r="B9" s="13" t="s">
        <v>13</v>
      </c>
      <c r="C9" s="13" t="s">
        <v>14</v>
      </c>
      <c r="D9" s="13" t="s">
        <v>15</v>
      </c>
      <c r="E9" s="13" t="s">
        <v>16</v>
      </c>
      <c r="F9" s="14">
        <v>1011.8200</v>
      </c>
      <c r="G9" s="14">
        <v>0</v>
      </c>
      <c r="H9" s="14">
        <v>1011.8200</v>
      </c>
      <c r="I9" s="14">
        <v>0</v>
      </c>
      <c r="J9" s="13" t="s">
        <v>19</v>
      </c>
    </row>
    <row r="10" ht="10.95" customHeight="true" customFormat="true" s="8">
      <c r="A10" s="12">
        <v>45747</v>
      </c>
      <c r="B10" s="13" t="s">
        <v>13</v>
      </c>
      <c r="C10" s="13" t="s">
        <v>14</v>
      </c>
      <c r="D10" s="13" t="s">
        <v>15</v>
      </c>
      <c r="E10" s="13" t="s">
        <v>16</v>
      </c>
      <c r="F10" s="14">
        <v>1965.7700</v>
      </c>
      <c r="G10" s="14">
        <v>0</v>
      </c>
      <c r="H10" s="14">
        <v>1965.7700</v>
      </c>
      <c r="I10" s="14">
        <v>0</v>
      </c>
      <c r="J10" s="13" t="s">
        <v>20</v>
      </c>
    </row>
    <row r="11" ht="10.95" customHeight="true" customFormat="true" s="8">
      <c r="A11" s="12">
        <v>45747</v>
      </c>
      <c r="B11" s="13" t="s">
        <v>13</v>
      </c>
      <c r="C11" s="13" t="s">
        <v>21</v>
      </c>
      <c r="D11" s="13" t="s">
        <v>15</v>
      </c>
      <c r="E11" s="13" t="s">
        <v>16</v>
      </c>
      <c r="F11" s="14">
        <v>21658.0000</v>
      </c>
      <c r="G11" s="14">
        <v>0</v>
      </c>
      <c r="H11" s="14">
        <v>21658.0000</v>
      </c>
      <c r="I11" s="14">
        <v>0</v>
      </c>
      <c r="J11" s="13" t="s">
        <v>20</v>
      </c>
    </row>
    <row r="12" ht="10.95" customHeight="true" customFormat="true" s="8">
      <c r="A12" s="12">
        <v>45747</v>
      </c>
      <c r="B12" s="13" t="s">
        <v>13</v>
      </c>
      <c r="C12" s="13" t="s">
        <v>22</v>
      </c>
      <c r="D12" s="13" t="s">
        <v>15</v>
      </c>
      <c r="E12" s="13" t="s">
        <v>16</v>
      </c>
      <c r="F12" s="14">
        <v>27240.8900</v>
      </c>
      <c r="G12" s="14">
        <v>0</v>
      </c>
      <c r="H12" s="14">
        <v>27240.8900</v>
      </c>
      <c r="I12" s="14">
        <v>0</v>
      </c>
      <c r="J12" s="13" t="s">
        <v>23</v>
      </c>
    </row>
    <row r="13" ht="10.95" customHeight="true" customFormat="true" s="8">
      <c r="A13" s="12">
        <v>45747</v>
      </c>
      <c r="B13" s="13" t="s">
        <v>13</v>
      </c>
      <c r="C13" s="13" t="s">
        <v>22</v>
      </c>
      <c r="D13" s="13" t="s">
        <v>15</v>
      </c>
      <c r="E13" s="13" t="s">
        <v>16</v>
      </c>
      <c r="F13" s="14">
        <v>5349.5300</v>
      </c>
      <c r="G13" s="14">
        <v>0</v>
      </c>
      <c r="H13" s="14">
        <v>5349.5300</v>
      </c>
      <c r="I13" s="14">
        <v>0</v>
      </c>
      <c r="J13" s="13" t="s">
        <v>23</v>
      </c>
    </row>
    <row r="14" ht="10.95" customHeight="true" customFormat="true" s="8">
      <c r="A14" s="12">
        <v>45747</v>
      </c>
      <c r="B14" s="13" t="s">
        <v>13</v>
      </c>
      <c r="C14" s="13" t="s">
        <v>22</v>
      </c>
      <c r="D14" s="13" t="s">
        <v>15</v>
      </c>
      <c r="E14" s="13" t="s">
        <v>16</v>
      </c>
      <c r="F14" s="14">
        <v>1800.0000</v>
      </c>
      <c r="G14" s="14">
        <v>0</v>
      </c>
      <c r="H14" s="14">
        <v>1800.0000</v>
      </c>
      <c r="I14" s="14">
        <v>0</v>
      </c>
      <c r="J14" s="13" t="s">
        <v>24</v>
      </c>
    </row>
    <row r="15" ht="10.95" customHeight="true" customFormat="true" s="8">
      <c r="A15" s="12">
        <v>45747</v>
      </c>
      <c r="B15" s="13" t="s">
        <v>13</v>
      </c>
      <c r="C15" s="13" t="s">
        <v>25</v>
      </c>
      <c r="D15" s="13" t="s">
        <v>15</v>
      </c>
      <c r="E15" s="13" t="s">
        <v>16</v>
      </c>
      <c r="F15" s="14">
        <v>35134.2000</v>
      </c>
      <c r="G15" s="14">
        <v>0</v>
      </c>
      <c r="H15" s="14">
        <v>35134.2000</v>
      </c>
      <c r="I15" s="14">
        <v>0</v>
      </c>
      <c r="J15" s="13" t="s">
        <v>20</v>
      </c>
    </row>
    <row r="16" ht="10.95" customHeight="true" customFormat="true" s="8">
      <c r="A16" s="12">
        <v>45747</v>
      </c>
      <c r="B16" s="13" t="s">
        <v>13</v>
      </c>
      <c r="C16" s="13" t="s">
        <v>26</v>
      </c>
      <c r="D16" s="13" t="s">
        <v>15</v>
      </c>
      <c r="E16" s="13" t="s">
        <v>16</v>
      </c>
      <c r="F16" s="14">
        <v>0</v>
      </c>
      <c r="G16" s="14">
        <v>31000.0000</v>
      </c>
      <c r="H16" s="14">
        <v>0</v>
      </c>
      <c r="I16" s="14">
        <v>31000.0000</v>
      </c>
      <c r="J16" s="13" t="s">
        <v>27</v>
      </c>
    </row>
    <row r="17" ht="10.95" customHeight="true" customFormat="true" s="8">
      <c r="A17" s="12">
        <v>45748</v>
      </c>
      <c r="B17" s="13" t="s">
        <v>13</v>
      </c>
      <c r="C17" s="13" t="s">
        <v>28</v>
      </c>
      <c r="D17" s="13" t="s">
        <v>29</v>
      </c>
      <c r="E17" s="13" t="s">
        <v>16</v>
      </c>
      <c r="F17" s="14">
        <v>0</v>
      </c>
      <c r="G17" s="14">
        <v>11838.2600</v>
      </c>
      <c r="H17" s="14">
        <v>0</v>
      </c>
      <c r="I17" s="14">
        <v>11838.2600</v>
      </c>
      <c r="J17" s="13" t="s">
        <v>17</v>
      </c>
    </row>
    <row r="18" ht="10.95" customHeight="true" customFormat="true" s="8">
      <c r="A18" s="12">
        <v>45748</v>
      </c>
      <c r="B18" s="13" t="s">
        <v>13</v>
      </c>
      <c r="C18" s="13" t="s">
        <v>28</v>
      </c>
      <c r="D18" s="13" t="s">
        <v>29</v>
      </c>
      <c r="E18" s="13" t="s">
        <v>16</v>
      </c>
      <c r="F18" s="14">
        <v>0</v>
      </c>
      <c r="G18" s="14">
        <v>4110.5100</v>
      </c>
      <c r="H18" s="14">
        <v>0</v>
      </c>
      <c r="I18" s="14">
        <v>4110.5100</v>
      </c>
      <c r="J18" s="13" t="s">
        <v>17</v>
      </c>
    </row>
    <row r="19" ht="10.95" customHeight="true" customFormat="true" s="8">
      <c r="A19" s="12">
        <v>45748</v>
      </c>
      <c r="B19" s="13" t="s">
        <v>13</v>
      </c>
      <c r="C19" s="13" t="s">
        <v>28</v>
      </c>
      <c r="D19" s="13" t="s">
        <v>29</v>
      </c>
      <c r="E19" s="13" t="s">
        <v>16</v>
      </c>
      <c r="F19" s="14">
        <v>0</v>
      </c>
      <c r="G19" s="14">
        <v>5544.5500</v>
      </c>
      <c r="H19" s="14">
        <v>0</v>
      </c>
      <c r="I19" s="14">
        <v>5544.5500</v>
      </c>
      <c r="J19" s="13" t="s">
        <v>18</v>
      </c>
    </row>
    <row r="20" ht="10.95" customHeight="true" customFormat="true" s="8">
      <c r="A20" s="12">
        <v>45748</v>
      </c>
      <c r="B20" s="13" t="s">
        <v>13</v>
      </c>
      <c r="C20" s="13" t="s">
        <v>28</v>
      </c>
      <c r="D20" s="13" t="s">
        <v>29</v>
      </c>
      <c r="E20" s="13" t="s">
        <v>16</v>
      </c>
      <c r="F20" s="14">
        <v>0</v>
      </c>
      <c r="G20" s="14">
        <v>1011.8200</v>
      </c>
      <c r="H20" s="14">
        <v>0</v>
      </c>
      <c r="I20" s="14">
        <v>1011.8200</v>
      </c>
      <c r="J20" s="13" t="s">
        <v>19</v>
      </c>
    </row>
    <row r="21" ht="10.95" customHeight="true" customFormat="true" s="8">
      <c r="A21" s="12">
        <v>45748</v>
      </c>
      <c r="B21" s="13" t="s">
        <v>13</v>
      </c>
      <c r="C21" s="13" t="s">
        <v>28</v>
      </c>
      <c r="D21" s="13" t="s">
        <v>29</v>
      </c>
      <c r="E21" s="13" t="s">
        <v>16</v>
      </c>
      <c r="F21" s="14">
        <v>0</v>
      </c>
      <c r="G21" s="14">
        <v>1965.7700</v>
      </c>
      <c r="H21" s="14">
        <v>0</v>
      </c>
      <c r="I21" s="14">
        <v>1965.7700</v>
      </c>
      <c r="J21" s="13" t="s">
        <v>20</v>
      </c>
    </row>
    <row r="22" ht="10.95" customHeight="true" customFormat="true" s="8">
      <c r="A22" s="12">
        <v>45748</v>
      </c>
      <c r="B22" s="13" t="s">
        <v>13</v>
      </c>
      <c r="C22" s="13" t="s">
        <v>30</v>
      </c>
      <c r="D22" s="13" t="s">
        <v>29</v>
      </c>
      <c r="E22" s="13" t="s">
        <v>16</v>
      </c>
      <c r="F22" s="14">
        <v>0</v>
      </c>
      <c r="G22" s="14">
        <v>21658.0000</v>
      </c>
      <c r="H22" s="14">
        <v>0</v>
      </c>
      <c r="I22" s="14">
        <v>21658.0000</v>
      </c>
      <c r="J22" s="13" t="s">
        <v>20</v>
      </c>
    </row>
    <row r="23" ht="10.95" customHeight="true" customFormat="true" s="8">
      <c r="A23" s="12">
        <v>45748</v>
      </c>
      <c r="B23" s="13" t="s">
        <v>13</v>
      </c>
      <c r="C23" s="13" t="s">
        <v>31</v>
      </c>
      <c r="D23" s="13" t="s">
        <v>29</v>
      </c>
      <c r="E23" s="13" t="s">
        <v>16</v>
      </c>
      <c r="F23" s="14">
        <v>0</v>
      </c>
      <c r="G23" s="14">
        <v>27240.8900</v>
      </c>
      <c r="H23" s="14">
        <v>0</v>
      </c>
      <c r="I23" s="14">
        <v>27240.8900</v>
      </c>
      <c r="J23" s="13" t="s">
        <v>23</v>
      </c>
    </row>
    <row r="24" ht="10.95" customHeight="true" customFormat="true" s="8">
      <c r="A24" s="12">
        <v>45748</v>
      </c>
      <c r="B24" s="13" t="s">
        <v>13</v>
      </c>
      <c r="C24" s="13" t="s">
        <v>31</v>
      </c>
      <c r="D24" s="13" t="s">
        <v>29</v>
      </c>
      <c r="E24" s="13" t="s">
        <v>16</v>
      </c>
      <c r="F24" s="14">
        <v>0</v>
      </c>
      <c r="G24" s="14">
        <v>5349.5300</v>
      </c>
      <c r="H24" s="14">
        <v>0</v>
      </c>
      <c r="I24" s="14">
        <v>5349.5300</v>
      </c>
      <c r="J24" s="13" t="s">
        <v>23</v>
      </c>
    </row>
    <row r="25" ht="10.95" customHeight="true" customFormat="true" s="8">
      <c r="A25" s="12">
        <v>45748</v>
      </c>
      <c r="B25" s="13" t="s">
        <v>13</v>
      </c>
      <c r="C25" s="13" t="s">
        <v>31</v>
      </c>
      <c r="D25" s="13" t="s">
        <v>29</v>
      </c>
      <c r="E25" s="13" t="s">
        <v>16</v>
      </c>
      <c r="F25" s="14">
        <v>0</v>
      </c>
      <c r="G25" s="14">
        <v>1800.0000</v>
      </c>
      <c r="H25" s="14">
        <v>0</v>
      </c>
      <c r="I25" s="14">
        <v>1800.0000</v>
      </c>
      <c r="J25" s="13" t="s">
        <v>24</v>
      </c>
    </row>
    <row r="26" ht="10.95" customHeight="true" customFormat="true" s="8">
      <c r="A26" s="12">
        <v>45748</v>
      </c>
      <c r="B26" s="13" t="s">
        <v>13</v>
      </c>
      <c r="C26" s="13" t="s">
        <v>32</v>
      </c>
      <c r="D26" s="13" t="s">
        <v>29</v>
      </c>
      <c r="E26" s="13" t="s">
        <v>16</v>
      </c>
      <c r="F26" s="14">
        <v>0</v>
      </c>
      <c r="G26" s="14">
        <v>35134.2000</v>
      </c>
      <c r="H26" s="14">
        <v>0</v>
      </c>
      <c r="I26" s="14">
        <v>35134.2000</v>
      </c>
      <c r="J26" s="13" t="s">
        <v>20</v>
      </c>
    </row>
    <row r="27" ht="10.95" customHeight="true" customFormat="true" s="8">
      <c r="A27" s="12">
        <v>45748</v>
      </c>
      <c r="B27" s="13" t="s">
        <v>13</v>
      </c>
      <c r="C27" s="13" t="s">
        <v>33</v>
      </c>
      <c r="D27" s="13" t="s">
        <v>29</v>
      </c>
      <c r="E27" s="13" t="s">
        <v>16</v>
      </c>
      <c r="F27" s="14">
        <v>31000.0000</v>
      </c>
      <c r="G27" s="14">
        <v>0</v>
      </c>
      <c r="H27" s="14">
        <v>31000.0000</v>
      </c>
      <c r="I27" s="14">
        <v>0</v>
      </c>
      <c r="J27" s="13" t="s">
        <v>27</v>
      </c>
    </row>
    <row r="28" ht="10.95" customHeight="true" customFormat="true" s="8">
      <c r="A28" s="15" t="s">
        <v>34</v>
      </c>
      <c r="B28" s="15"/>
      <c r="C28" s="15"/>
      <c r="D28" s="15"/>
      <c r="E28" s="15"/>
      <c r="F28" s="16">
        <f ca="1">SUM(F6:F27)</f>
        <v>0</v>
      </c>
      <c r="G28" s="16">
        <f ca="1">SUM(G6:G27)</f>
        <v>0</v>
      </c>
      <c r="H28" s="16">
        <f ca="1">SUM(H6:H27)</f>
        <v>0</v>
      </c>
      <c r="I28" s="16">
        <f ca="1">SUM(I6:I27)</f>
        <v>0</v>
      </c>
      <c r="J28" s="15"/>
    </row>
    <row r="29" ht="13.35" customHeight="true"/>
    <row r="30" ht="12.1" customHeight="true" customFormat="true" s="5">
      <c r="A30" s="17" t="s">
        <v>35</v>
      </c>
      <c r="B30" s="17"/>
      <c r="C30" s="17"/>
      <c r="D30" s="17"/>
      <c r="E30" s="17"/>
      <c r="F30" s="17"/>
      <c r="G30" s="17"/>
      <c r="H30" s="17"/>
      <c r="I30" s="17"/>
      <c r="J30" s="17"/>
    </row>
    <row r="31" ht="10.95" customHeight="true" customFormat="true" s="8">
      <c r="A31" s="9">
        <v>45548</v>
      </c>
      <c r="B31" s="10" t="s">
        <v>36</v>
      </c>
      <c r="C31" s="10" t="s">
        <v>37</v>
      </c>
      <c r="D31" s="10" t="s">
        <v>38</v>
      </c>
      <c r="E31" s="10" t="s">
        <v>16</v>
      </c>
      <c r="F31" s="11">
        <v>0</v>
      </c>
      <c r="G31" s="11">
        <v>1621.0000</v>
      </c>
      <c r="H31" s="11">
        <v>0</v>
      </c>
      <c r="I31" s="11">
        <v>1621.0000</v>
      </c>
      <c r="J31" s="10" t="s">
        <v>18</v>
      </c>
    </row>
    <row r="32" ht="10.95" customHeight="true" customFormat="true" s="8">
      <c r="A32" s="12">
        <v>45548</v>
      </c>
      <c r="B32" s="13" t="s">
        <v>36</v>
      </c>
      <c r="C32" s="13" t="s">
        <v>39</v>
      </c>
      <c r="D32" s="13" t="s">
        <v>40</v>
      </c>
      <c r="E32" s="13" t="s">
        <v>16</v>
      </c>
      <c r="F32" s="14">
        <v>0</v>
      </c>
      <c r="G32" s="14">
        <v>251.4300</v>
      </c>
      <c r="H32" s="14">
        <v>0</v>
      </c>
      <c r="I32" s="14">
        <v>251.4300</v>
      </c>
      <c r="J32" s="13" t="s">
        <v>41</v>
      </c>
    </row>
    <row r="33" ht="10.95" customHeight="true" customFormat="true" s="8">
      <c r="A33" s="12">
        <v>45548</v>
      </c>
      <c r="B33" s="13" t="s">
        <v>36</v>
      </c>
      <c r="C33" s="13" t="s">
        <v>42</v>
      </c>
      <c r="D33" s="13" t="s">
        <v>40</v>
      </c>
      <c r="E33" s="13" t="s">
        <v>16</v>
      </c>
      <c r="F33" s="14">
        <v>0</v>
      </c>
      <c r="G33" s="14">
        <v>86.7000</v>
      </c>
      <c r="H33" s="14">
        <v>0</v>
      </c>
      <c r="I33" s="14">
        <v>86.7000</v>
      </c>
      <c r="J33" s="13" t="s">
        <v>41</v>
      </c>
    </row>
    <row r="34" ht="10.95" customHeight="true" customFormat="true" s="8">
      <c r="A34" s="12">
        <v>45548</v>
      </c>
      <c r="B34" s="13" t="s">
        <v>36</v>
      </c>
      <c r="C34" s="13" t="s">
        <v>43</v>
      </c>
      <c r="D34" s="13" t="s">
        <v>40</v>
      </c>
      <c r="E34" s="13" t="s">
        <v>16</v>
      </c>
      <c r="F34" s="14">
        <v>0</v>
      </c>
      <c r="G34" s="14">
        <v>86.7000</v>
      </c>
      <c r="H34" s="14">
        <v>0</v>
      </c>
      <c r="I34" s="14">
        <v>86.7000</v>
      </c>
      <c r="J34" s="13" t="s">
        <v>41</v>
      </c>
    </row>
    <row r="35" ht="10.95" customHeight="true" customFormat="true" s="8">
      <c r="A35" s="12">
        <v>45757</v>
      </c>
      <c r="B35" s="13" t="s">
        <v>36</v>
      </c>
      <c r="C35" s="13" t="s">
        <v>44</v>
      </c>
      <c r="D35" s="13" t="s">
        <v>45</v>
      </c>
      <c r="E35" s="13" t="s">
        <v>16</v>
      </c>
      <c r="F35" s="14">
        <v>0</v>
      </c>
      <c r="G35" s="14">
        <v>907.7200</v>
      </c>
      <c r="H35" s="14">
        <v>0</v>
      </c>
      <c r="I35" s="14">
        <v>907.7200</v>
      </c>
      <c r="J35" s="13" t="s">
        <v>46</v>
      </c>
    </row>
    <row r="36" ht="10.95" customHeight="true" customFormat="true" s="8">
      <c r="A36" s="12">
        <v>45909</v>
      </c>
      <c r="B36" s="13" t="s">
        <v>36</v>
      </c>
      <c r="C36" s="13" t="s">
        <v>44</v>
      </c>
      <c r="D36" s="13" t="s">
        <v>47</v>
      </c>
      <c r="E36" s="13" t="s">
        <v>16</v>
      </c>
      <c r="F36" s="14">
        <v>0</v>
      </c>
      <c r="G36" s="14">
        <v>3025.7100</v>
      </c>
      <c r="H36" s="14">
        <v>0</v>
      </c>
      <c r="I36" s="14">
        <v>3025.7100</v>
      </c>
      <c r="J36" s="13" t="s">
        <v>46</v>
      </c>
    </row>
    <row r="37" ht="10.95" customHeight="true" customFormat="true" s="8">
      <c r="A37" s="15" t="s">
        <v>48</v>
      </c>
      <c r="B37" s="15"/>
      <c r="C37" s="15"/>
      <c r="D37" s="15"/>
      <c r="E37" s="15"/>
      <c r="F37" s="16">
        <f ca="1">SUM(F31:F36)</f>
        <v>0</v>
      </c>
      <c r="G37" s="16">
        <f ca="1">SUM(G31:G36)</f>
        <v>0</v>
      </c>
      <c r="H37" s="16">
        <f ca="1">SUM(H31:H36)</f>
        <v>0</v>
      </c>
      <c r="I37" s="16">
        <f ca="1">SUM(I31:I36)</f>
        <v>0</v>
      </c>
      <c r="J37" s="15"/>
    </row>
    <row r="38" ht="13.35" customHeight="true"/>
    <row r="39" ht="12.1" customHeight="true" customFormat="true" s="5">
      <c r="A39" s="17" t="s">
        <v>49</v>
      </c>
      <c r="B39" s="17"/>
      <c r="C39" s="17"/>
      <c r="D39" s="17"/>
      <c r="E39" s="17"/>
      <c r="F39" s="17"/>
      <c r="G39" s="17"/>
      <c r="H39" s="17"/>
      <c r="I39" s="17"/>
      <c r="J39" s="17"/>
    </row>
    <row r="40" ht="10.95" customHeight="true" customFormat="true" s="8">
      <c r="A40" s="9">
        <v>45425</v>
      </c>
      <c r="B40" s="10" t="s">
        <v>36</v>
      </c>
      <c r="C40" s="10" t="s">
        <v>50</v>
      </c>
      <c r="D40" s="10" t="s">
        <v>51</v>
      </c>
      <c r="E40" s="10" t="s">
        <v>16</v>
      </c>
      <c r="F40" s="11">
        <v>0</v>
      </c>
      <c r="G40" s="11">
        <v>204.7000</v>
      </c>
      <c r="H40" s="11">
        <v>0</v>
      </c>
      <c r="I40" s="11">
        <v>204.7000</v>
      </c>
      <c r="J40" s="10" t="s">
        <v>46</v>
      </c>
    </row>
    <row r="41" ht="10.95" customHeight="true" customFormat="true" s="8">
      <c r="A41" s="15" t="s">
        <v>52</v>
      </c>
      <c r="B41" s="15"/>
      <c r="C41" s="15"/>
      <c r="D41" s="15"/>
      <c r="E41" s="15"/>
      <c r="F41" s="16">
        <f ca="1">F40</f>
        <v>0</v>
      </c>
      <c r="G41" s="16">
        <f ca="1">G40</f>
        <v>0</v>
      </c>
      <c r="H41" s="16">
        <f ca="1">H40</f>
        <v>0</v>
      </c>
      <c r="I41" s="16">
        <f ca="1">I40</f>
        <v>0</v>
      </c>
      <c r="J41" s="15"/>
    </row>
    <row r="42" ht="13.35" customHeight="true"/>
    <row r="43" ht="12.1" customHeight="true" customFormat="true" s="5">
      <c r="A43" s="17" t="s">
        <v>53</v>
      </c>
      <c r="B43" s="17"/>
      <c r="C43" s="17"/>
      <c r="D43" s="17"/>
      <c r="E43" s="17"/>
      <c r="F43" s="17"/>
      <c r="G43" s="17"/>
      <c r="H43" s="17"/>
      <c r="I43" s="17"/>
      <c r="J43" s="17"/>
    </row>
    <row r="44" ht="10.95" customHeight="true" customFormat="true" s="8">
      <c r="A44" s="9">
        <v>45672</v>
      </c>
      <c r="B44" s="10" t="s">
        <v>36</v>
      </c>
      <c r="C44" s="10" t="s">
        <v>54</v>
      </c>
      <c r="D44" s="10" t="s">
        <v>55</v>
      </c>
      <c r="E44" s="10" t="s">
        <v>16</v>
      </c>
      <c r="F44" s="11">
        <v>0</v>
      </c>
      <c r="G44" s="11">
        <v>2350.0000</v>
      </c>
      <c r="H44" s="11">
        <v>0</v>
      </c>
      <c r="I44" s="11">
        <v>2350.0000</v>
      </c>
      <c r="J44" s="10" t="s">
        <v>46</v>
      </c>
    </row>
    <row r="45" ht="10.95" customHeight="true" customFormat="true" s="8">
      <c r="A45" s="12">
        <v>45784</v>
      </c>
      <c r="B45" s="13" t="s">
        <v>36</v>
      </c>
      <c r="C45" s="13" t="s">
        <v>56</v>
      </c>
      <c r="D45" s="13" t="s">
        <v>57</v>
      </c>
      <c r="E45" s="13" t="s">
        <v>16</v>
      </c>
      <c r="F45" s="14">
        <v>0</v>
      </c>
      <c r="G45" s="14">
        <v>855.0000</v>
      </c>
      <c r="H45" s="14">
        <v>0</v>
      </c>
      <c r="I45" s="14">
        <v>855.0000</v>
      </c>
      <c r="J45" s="13" t="s">
        <v>46</v>
      </c>
    </row>
    <row r="46" ht="10.95" customHeight="true" customFormat="true" s="8">
      <c r="A46" s="12">
        <v>45786</v>
      </c>
      <c r="B46" s="13" t="s">
        <v>36</v>
      </c>
      <c r="C46" s="13" t="s">
        <v>58</v>
      </c>
      <c r="D46" s="13" t="s">
        <v>59</v>
      </c>
      <c r="E46" s="13" t="s">
        <v>16</v>
      </c>
      <c r="F46" s="14">
        <v>0</v>
      </c>
      <c r="G46" s="14">
        <v>493.5600</v>
      </c>
      <c r="H46" s="14">
        <v>0</v>
      </c>
      <c r="I46" s="14">
        <v>493.5600</v>
      </c>
      <c r="J46" s="13" t="s">
        <v>18</v>
      </c>
    </row>
    <row r="47" ht="10.95" customHeight="true" customFormat="true" s="8">
      <c r="A47" s="12">
        <v>45786</v>
      </c>
      <c r="B47" s="13" t="s">
        <v>36</v>
      </c>
      <c r="C47" s="13" t="s">
        <v>60</v>
      </c>
      <c r="D47" s="13" t="s">
        <v>59</v>
      </c>
      <c r="E47" s="13" t="s">
        <v>16</v>
      </c>
      <c r="F47" s="14">
        <v>0</v>
      </c>
      <c r="G47" s="14">
        <v>4826.2500</v>
      </c>
      <c r="H47" s="14">
        <v>0</v>
      </c>
      <c r="I47" s="14">
        <v>4826.2500</v>
      </c>
      <c r="J47" s="13" t="s">
        <v>20</v>
      </c>
    </row>
    <row r="48" ht="10.95" customHeight="true" customFormat="true" s="8">
      <c r="A48" s="12">
        <v>45848</v>
      </c>
      <c r="B48" s="13" t="s">
        <v>36</v>
      </c>
      <c r="C48" s="13" t="s">
        <v>61</v>
      </c>
      <c r="D48" s="13" t="s">
        <v>62</v>
      </c>
      <c r="E48" s="13" t="s">
        <v>16</v>
      </c>
      <c r="F48" s="14">
        <v>0</v>
      </c>
      <c r="G48" s="14">
        <v>2331.0000</v>
      </c>
      <c r="H48" s="14">
        <v>0</v>
      </c>
      <c r="I48" s="14">
        <v>2331.0000</v>
      </c>
      <c r="J48" s="13" t="s">
        <v>46</v>
      </c>
    </row>
    <row r="49" ht="10.95" customHeight="true" customFormat="true" s="8">
      <c r="A49" s="12">
        <v>45862</v>
      </c>
      <c r="B49" s="13" t="s">
        <v>36</v>
      </c>
      <c r="C49" s="13" t="s">
        <v>63</v>
      </c>
      <c r="D49" s="13" t="s">
        <v>64</v>
      </c>
      <c r="E49" s="13" t="s">
        <v>16</v>
      </c>
      <c r="F49" s="14">
        <v>0</v>
      </c>
      <c r="G49" s="14">
        <v>24700.0000</v>
      </c>
      <c r="H49" s="14">
        <v>0</v>
      </c>
      <c r="I49" s="14">
        <v>24700.0000</v>
      </c>
      <c r="J49" s="13" t="s">
        <v>46</v>
      </c>
    </row>
    <row r="50" ht="10.95" customHeight="true" customFormat="true" s="8">
      <c r="A50" s="12">
        <v>45862</v>
      </c>
      <c r="B50" s="13" t="s">
        <v>36</v>
      </c>
      <c r="C50" s="13" t="s">
        <v>65</v>
      </c>
      <c r="D50" s="13" t="s">
        <v>64</v>
      </c>
      <c r="E50" s="13" t="s">
        <v>16</v>
      </c>
      <c r="F50" s="14">
        <v>0</v>
      </c>
      <c r="G50" s="14">
        <v>4062.5000</v>
      </c>
      <c r="H50" s="14">
        <v>0</v>
      </c>
      <c r="I50" s="14">
        <v>4062.5000</v>
      </c>
      <c r="J50" s="13" t="s">
        <v>46</v>
      </c>
    </row>
    <row r="51" ht="10.95" customHeight="true" customFormat="true" s="8">
      <c r="A51" s="12">
        <v>46171</v>
      </c>
      <c r="B51" s="13" t="s">
        <v>36</v>
      </c>
      <c r="C51" s="13" t="s">
        <v>66</v>
      </c>
      <c r="D51" s="13" t="s">
        <v>67</v>
      </c>
      <c r="E51" s="13" t="s">
        <v>16</v>
      </c>
      <c r="F51" s="14">
        <v>0</v>
      </c>
      <c r="G51" s="14">
        <v>889.9200</v>
      </c>
      <c r="H51" s="14">
        <v>0</v>
      </c>
      <c r="I51" s="14">
        <v>889.9200</v>
      </c>
      <c r="J51" s="13" t="s">
        <v>46</v>
      </c>
    </row>
    <row r="52" ht="10.95" customHeight="true" customFormat="true" s="8">
      <c r="A52" s="15" t="s">
        <v>68</v>
      </c>
      <c r="B52" s="15"/>
      <c r="C52" s="15"/>
      <c r="D52" s="15"/>
      <c r="E52" s="15"/>
      <c r="F52" s="16">
        <f ca="1">SUM(F44:F51)</f>
        <v>0</v>
      </c>
      <c r="G52" s="16">
        <f ca="1">SUM(G44:G51)</f>
        <v>0</v>
      </c>
      <c r="H52" s="16">
        <f ca="1">SUM(H44:H51)</f>
        <v>0</v>
      </c>
      <c r="I52" s="16">
        <f ca="1">SUM(I44:I51)</f>
        <v>0</v>
      </c>
      <c r="J52" s="15"/>
    </row>
    <row r="53" ht="13.35" customHeight="true"/>
    <row r="54" ht="12.1" customHeight="true" customFormat="true" s="5">
      <c r="A54" s="17" t="s">
        <v>69</v>
      </c>
      <c r="B54" s="17"/>
      <c r="C54" s="17"/>
      <c r="D54" s="17"/>
      <c r="E54" s="17"/>
      <c r="F54" s="17"/>
      <c r="G54" s="17"/>
      <c r="H54" s="17"/>
      <c r="I54" s="17"/>
      <c r="J54" s="17"/>
    </row>
    <row r="55" ht="10.95" customHeight="true" customFormat="true" s="8">
      <c r="A55" s="9">
        <v>45628</v>
      </c>
      <c r="B55" s="10" t="s">
        <v>36</v>
      </c>
      <c r="C55" s="10" t="s">
        <v>70</v>
      </c>
      <c r="D55" s="10" t="s">
        <v>71</v>
      </c>
      <c r="E55" s="10" t="s">
        <v>16</v>
      </c>
      <c r="F55" s="11">
        <v>0</v>
      </c>
      <c r="G55" s="11">
        <v>2350.0000</v>
      </c>
      <c r="H55" s="11">
        <v>0</v>
      </c>
      <c r="I55" s="11">
        <v>2350.0000</v>
      </c>
      <c r="J55" s="10" t="s">
        <v>46</v>
      </c>
    </row>
    <row r="56" ht="10.95" customHeight="true" customFormat="true" s="8">
      <c r="A56" s="12">
        <v>45628</v>
      </c>
      <c r="B56" s="13" t="s">
        <v>72</v>
      </c>
      <c r="C56" s="13" t="s">
        <v>73</v>
      </c>
      <c r="D56" s="13" t="s">
        <v>71</v>
      </c>
      <c r="E56" s="13" t="s">
        <v>16</v>
      </c>
      <c r="F56" s="14">
        <v>300.0000</v>
      </c>
      <c r="G56" s="14">
        <v>0</v>
      </c>
      <c r="H56" s="14">
        <v>300.0000</v>
      </c>
      <c r="I56" s="14">
        <v>0</v>
      </c>
      <c r="J56" s="13" t="s">
        <v>46</v>
      </c>
    </row>
    <row r="57" ht="10.95" customHeight="true" customFormat="true" s="8">
      <c r="A57" s="12">
        <v>45628</v>
      </c>
      <c r="B57" s="13" t="s">
        <v>72</v>
      </c>
      <c r="C57" s="13" t="s">
        <v>70</v>
      </c>
      <c r="D57" s="13" t="s">
        <v>71</v>
      </c>
      <c r="E57" s="13" t="s">
        <v>16</v>
      </c>
      <c r="F57" s="14">
        <v>2350.0000</v>
      </c>
      <c r="G57" s="14">
        <v>0</v>
      </c>
      <c r="H57" s="14">
        <v>2350.0000</v>
      </c>
      <c r="I57" s="14">
        <v>0</v>
      </c>
      <c r="J57" s="13" t="s">
        <v>46</v>
      </c>
    </row>
    <row r="58" ht="10.95" customHeight="true" customFormat="true" s="8">
      <c r="A58" s="15" t="s">
        <v>74</v>
      </c>
      <c r="B58" s="15"/>
      <c r="C58" s="15"/>
      <c r="D58" s="15"/>
      <c r="E58" s="15"/>
      <c r="F58" s="16">
        <f ca="1">SUM(F55:F57)</f>
        <v>0</v>
      </c>
      <c r="G58" s="16">
        <f ca="1">SUM(G55:G57)</f>
        <v>0</v>
      </c>
      <c r="H58" s="16">
        <f ca="1">SUM(H55:H57)</f>
        <v>0</v>
      </c>
      <c r="I58" s="16">
        <f ca="1">SUM(I55:I57)</f>
        <v>0</v>
      </c>
      <c r="J58" s="15"/>
    </row>
    <row r="59" ht="13.35" customHeight="true"/>
    <row r="60" ht="12.1" customHeight="true" customFormat="true" s="5">
      <c r="A60" s="17" t="s">
        <v>75</v>
      </c>
      <c r="B60" s="17"/>
      <c r="C60" s="17"/>
      <c r="D60" s="17"/>
      <c r="E60" s="17"/>
      <c r="F60" s="17"/>
      <c r="G60" s="17"/>
      <c r="H60" s="17"/>
      <c r="I60" s="17"/>
      <c r="J60" s="17"/>
    </row>
    <row r="61" ht="10.95" customHeight="true" customFormat="true" s="8">
      <c r="A61" s="9">
        <v>46232</v>
      </c>
      <c r="B61" s="10" t="s">
        <v>36</v>
      </c>
      <c r="C61" s="10" t="s">
        <v>76</v>
      </c>
      <c r="D61" s="10" t="s">
        <v>77</v>
      </c>
      <c r="E61" s="10" t="s">
        <v>16</v>
      </c>
      <c r="F61" s="11">
        <v>0</v>
      </c>
      <c r="G61" s="11">
        <v>372.3000</v>
      </c>
      <c r="H61" s="11">
        <v>0</v>
      </c>
      <c r="I61" s="11">
        <v>372.3000</v>
      </c>
      <c r="J61" s="10" t="s">
        <v>46</v>
      </c>
    </row>
    <row r="62" ht="10.95" customHeight="true" customFormat="true" s="8">
      <c r="A62" s="12">
        <v>46232</v>
      </c>
      <c r="B62" s="13" t="s">
        <v>36</v>
      </c>
      <c r="C62" s="13" t="s">
        <v>78</v>
      </c>
      <c r="D62" s="13" t="s">
        <v>77</v>
      </c>
      <c r="E62" s="13" t="s">
        <v>16</v>
      </c>
      <c r="F62" s="14">
        <v>0</v>
      </c>
      <c r="G62" s="14">
        <v>372.3000</v>
      </c>
      <c r="H62" s="14">
        <v>0</v>
      </c>
      <c r="I62" s="14">
        <v>372.3000</v>
      </c>
      <c r="J62" s="13" t="s">
        <v>46</v>
      </c>
    </row>
    <row r="63" ht="10.95" customHeight="true" customFormat="true" s="8">
      <c r="A63" s="15" t="s">
        <v>79</v>
      </c>
      <c r="B63" s="15"/>
      <c r="C63" s="15"/>
      <c r="D63" s="15"/>
      <c r="E63" s="15"/>
      <c r="F63" s="16">
        <f ca="1">SUM(F61:F62)</f>
        <v>0</v>
      </c>
      <c r="G63" s="16">
        <f ca="1">SUM(G61:G62)</f>
        <v>0</v>
      </c>
      <c r="H63" s="16">
        <f ca="1">SUM(H61:H62)</f>
        <v>0</v>
      </c>
      <c r="I63" s="16">
        <f ca="1">SUM(I61:I62)</f>
        <v>0</v>
      </c>
      <c r="J63" s="15"/>
    </row>
    <row r="64" ht="13.35" customHeight="true"/>
    <row r="65" ht="12.1" customHeight="true" customFormat="true" s="5">
      <c r="A65" s="17" t="s">
        <v>80</v>
      </c>
      <c r="B65" s="17"/>
      <c r="C65" s="17"/>
      <c r="D65" s="17"/>
      <c r="E65" s="17"/>
      <c r="F65" s="17"/>
      <c r="G65" s="17"/>
      <c r="H65" s="17"/>
      <c r="I65" s="17"/>
      <c r="J65" s="17"/>
    </row>
    <row r="66" ht="10.95" customHeight="true" customFormat="true" s="8">
      <c r="A66" s="9">
        <v>45614</v>
      </c>
      <c r="B66" s="10" t="s">
        <v>36</v>
      </c>
      <c r="C66" s="10" t="s">
        <v>81</v>
      </c>
      <c r="D66" s="10" t="s">
        <v>82</v>
      </c>
      <c r="E66" s="10" t="s">
        <v>16</v>
      </c>
      <c r="F66" s="11">
        <v>0</v>
      </c>
      <c r="G66" s="11">
        <v>120.0000</v>
      </c>
      <c r="H66" s="11">
        <v>0</v>
      </c>
      <c r="I66" s="11">
        <v>120.0000</v>
      </c>
      <c r="J66" s="10" t="s">
        <v>46</v>
      </c>
    </row>
    <row r="67" ht="10.95" customHeight="true" customFormat="true" s="8">
      <c r="A67" s="15" t="s">
        <v>83</v>
      </c>
      <c r="B67" s="15"/>
      <c r="C67" s="15"/>
      <c r="D67" s="15"/>
      <c r="E67" s="15"/>
      <c r="F67" s="16">
        <f ca="1">F66</f>
        <v>0</v>
      </c>
      <c r="G67" s="16">
        <f ca="1">G66</f>
        <v>0</v>
      </c>
      <c r="H67" s="16">
        <f ca="1">H66</f>
        <v>0</v>
      </c>
      <c r="I67" s="16">
        <f ca="1">I66</f>
        <v>0</v>
      </c>
      <c r="J67" s="15"/>
    </row>
    <row r="68" ht="13.35" customHeight="true"/>
    <row r="69" ht="12.1" customHeight="true" customFormat="true" s="5">
      <c r="A69" s="17" t="s">
        <v>84</v>
      </c>
      <c r="B69" s="17"/>
      <c r="C69" s="17"/>
      <c r="D69" s="17"/>
      <c r="E69" s="17"/>
      <c r="F69" s="17"/>
      <c r="G69" s="17"/>
      <c r="H69" s="17"/>
      <c r="I69" s="17"/>
      <c r="J69" s="17"/>
    </row>
    <row r="70" ht="10.95" customHeight="true" customFormat="true" s="8">
      <c r="A70" s="9">
        <v>46070</v>
      </c>
      <c r="B70" s="10" t="s">
        <v>36</v>
      </c>
      <c r="C70" s="10" t="s">
        <v>85</v>
      </c>
      <c r="D70" s="10" t="s">
        <v>86</v>
      </c>
      <c r="E70" s="10" t="s">
        <v>16</v>
      </c>
      <c r="F70" s="11">
        <v>0</v>
      </c>
      <c r="G70" s="11">
        <v>5.0000</v>
      </c>
      <c r="H70" s="11">
        <v>0</v>
      </c>
      <c r="I70" s="11">
        <v>5.0000</v>
      </c>
      <c r="J70" s="10" t="s">
        <v>46</v>
      </c>
    </row>
    <row r="71" ht="10.95" customHeight="true" customFormat="true" s="8">
      <c r="A71" s="12">
        <v>46121</v>
      </c>
      <c r="B71" s="13" t="s">
        <v>36</v>
      </c>
      <c r="C71" s="13" t="s">
        <v>87</v>
      </c>
      <c r="D71" s="13" t="s">
        <v>88</v>
      </c>
      <c r="E71" s="13" t="s">
        <v>16</v>
      </c>
      <c r="F71" s="14">
        <v>0</v>
      </c>
      <c r="G71" s="14">
        <v>5093.0900</v>
      </c>
      <c r="H71" s="14">
        <v>0</v>
      </c>
      <c r="I71" s="14">
        <v>5093.0900</v>
      </c>
      <c r="J71" s="13" t="s">
        <v>46</v>
      </c>
    </row>
    <row r="72" ht="10.95" customHeight="true" customFormat="true" s="8">
      <c r="A72" s="12">
        <v>46121</v>
      </c>
      <c r="B72" s="13" t="s">
        <v>36</v>
      </c>
      <c r="C72" s="13" t="s">
        <v>89</v>
      </c>
      <c r="D72" s="13" t="s">
        <v>88</v>
      </c>
      <c r="E72" s="13" t="s">
        <v>16</v>
      </c>
      <c r="F72" s="14">
        <v>0</v>
      </c>
      <c r="G72" s="14">
        <v>1708.1400</v>
      </c>
      <c r="H72" s="14">
        <v>0</v>
      </c>
      <c r="I72" s="14">
        <v>1708.1400</v>
      </c>
      <c r="J72" s="13" t="s">
        <v>46</v>
      </c>
    </row>
    <row r="73" ht="10.95" customHeight="true" customFormat="true" s="8">
      <c r="A73" s="12">
        <v>46121</v>
      </c>
      <c r="B73" s="13" t="s">
        <v>36</v>
      </c>
      <c r="C73" s="13" t="s">
        <v>90</v>
      </c>
      <c r="D73" s="13" t="s">
        <v>88</v>
      </c>
      <c r="E73" s="13" t="s">
        <v>16</v>
      </c>
      <c r="F73" s="14">
        <v>0</v>
      </c>
      <c r="G73" s="14">
        <v>1662.8500</v>
      </c>
      <c r="H73" s="14">
        <v>0</v>
      </c>
      <c r="I73" s="14">
        <v>1662.8500</v>
      </c>
      <c r="J73" s="13" t="s">
        <v>46</v>
      </c>
    </row>
    <row r="74" ht="10.95" customHeight="true" customFormat="true" s="8">
      <c r="A74" s="12">
        <v>46121</v>
      </c>
      <c r="B74" s="13" t="s">
        <v>36</v>
      </c>
      <c r="C74" s="13" t="s">
        <v>91</v>
      </c>
      <c r="D74" s="13" t="s">
        <v>88</v>
      </c>
      <c r="E74" s="13" t="s">
        <v>16</v>
      </c>
      <c r="F74" s="14">
        <v>0</v>
      </c>
      <c r="G74" s="14">
        <v>290.0300</v>
      </c>
      <c r="H74" s="14">
        <v>0</v>
      </c>
      <c r="I74" s="14">
        <v>290.0300</v>
      </c>
      <c r="J74" s="13" t="s">
        <v>46</v>
      </c>
    </row>
    <row r="75" ht="10.95" customHeight="true" customFormat="true" s="8">
      <c r="A75" s="12">
        <v>46121</v>
      </c>
      <c r="B75" s="13" t="s">
        <v>36</v>
      </c>
      <c r="C75" s="13" t="s">
        <v>92</v>
      </c>
      <c r="D75" s="13" t="s">
        <v>88</v>
      </c>
      <c r="E75" s="13" t="s">
        <v>16</v>
      </c>
      <c r="F75" s="14">
        <v>0</v>
      </c>
      <c r="G75" s="14">
        <v>297.6300</v>
      </c>
      <c r="H75" s="14">
        <v>0</v>
      </c>
      <c r="I75" s="14">
        <v>297.6300</v>
      </c>
      <c r="J75" s="13" t="s">
        <v>46</v>
      </c>
    </row>
    <row r="76" ht="10.95" customHeight="true" customFormat="true" s="8">
      <c r="A76" s="12">
        <v>46121</v>
      </c>
      <c r="B76" s="13" t="s">
        <v>36</v>
      </c>
      <c r="C76" s="13" t="s">
        <v>93</v>
      </c>
      <c r="D76" s="13" t="s">
        <v>88</v>
      </c>
      <c r="E76" s="13" t="s">
        <v>16</v>
      </c>
      <c r="F76" s="14">
        <v>0</v>
      </c>
      <c r="G76" s="14">
        <v>5820.5000</v>
      </c>
      <c r="H76" s="14">
        <v>0</v>
      </c>
      <c r="I76" s="14">
        <v>5820.5000</v>
      </c>
      <c r="J76" s="13" t="s">
        <v>46</v>
      </c>
    </row>
    <row r="77" ht="10.95" customHeight="true" customFormat="true" s="8">
      <c r="A77" s="12">
        <v>46121</v>
      </c>
      <c r="B77" s="13" t="s">
        <v>36</v>
      </c>
      <c r="C77" s="13" t="s">
        <v>94</v>
      </c>
      <c r="D77" s="13" t="s">
        <v>88</v>
      </c>
      <c r="E77" s="13" t="s">
        <v>16</v>
      </c>
      <c r="F77" s="14">
        <v>0</v>
      </c>
      <c r="G77" s="14">
        <v>6207.5900</v>
      </c>
      <c r="H77" s="14">
        <v>0</v>
      </c>
      <c r="I77" s="14">
        <v>6207.5900</v>
      </c>
      <c r="J77" s="13" t="s">
        <v>46</v>
      </c>
    </row>
    <row r="78" ht="10.95" customHeight="true" customFormat="true" s="8">
      <c r="A78" s="12">
        <v>46121</v>
      </c>
      <c r="B78" s="13" t="s">
        <v>36</v>
      </c>
      <c r="C78" s="13" t="s">
        <v>95</v>
      </c>
      <c r="D78" s="13" t="s">
        <v>88</v>
      </c>
      <c r="E78" s="13" t="s">
        <v>16</v>
      </c>
      <c r="F78" s="14">
        <v>0</v>
      </c>
      <c r="G78" s="14">
        <v>1225.8800</v>
      </c>
      <c r="H78" s="14">
        <v>0</v>
      </c>
      <c r="I78" s="14">
        <v>1225.8800</v>
      </c>
      <c r="J78" s="13" t="s">
        <v>46</v>
      </c>
    </row>
    <row r="79" ht="10.95" customHeight="true" customFormat="true" s="8">
      <c r="A79" s="12">
        <v>46121</v>
      </c>
      <c r="B79" s="13" t="s">
        <v>36</v>
      </c>
      <c r="C79" s="13" t="s">
        <v>96</v>
      </c>
      <c r="D79" s="13" t="s">
        <v>88</v>
      </c>
      <c r="E79" s="13" t="s">
        <v>16</v>
      </c>
      <c r="F79" s="14">
        <v>0</v>
      </c>
      <c r="G79" s="14">
        <v>1037.1800</v>
      </c>
      <c r="H79" s="14">
        <v>0</v>
      </c>
      <c r="I79" s="14">
        <v>1037.1800</v>
      </c>
      <c r="J79" s="13" t="s">
        <v>46</v>
      </c>
    </row>
    <row r="80" ht="10.95" customHeight="true" customFormat="true" s="8">
      <c r="A80" s="12">
        <v>46121</v>
      </c>
      <c r="B80" s="13" t="s">
        <v>36</v>
      </c>
      <c r="C80" s="13" t="s">
        <v>97</v>
      </c>
      <c r="D80" s="13" t="s">
        <v>88</v>
      </c>
      <c r="E80" s="13" t="s">
        <v>16</v>
      </c>
      <c r="F80" s="14">
        <v>0</v>
      </c>
      <c r="G80" s="14">
        <v>916.3300</v>
      </c>
      <c r="H80" s="14">
        <v>0</v>
      </c>
      <c r="I80" s="14">
        <v>916.3300</v>
      </c>
      <c r="J80" s="13" t="s">
        <v>46</v>
      </c>
    </row>
    <row r="81" ht="10.95" customHeight="true" customFormat="true" s="8">
      <c r="A81" s="12">
        <v>46121</v>
      </c>
      <c r="B81" s="13" t="s">
        <v>36</v>
      </c>
      <c r="C81" s="13" t="s">
        <v>98</v>
      </c>
      <c r="D81" s="13" t="s">
        <v>88</v>
      </c>
      <c r="E81" s="13" t="s">
        <v>16</v>
      </c>
      <c r="F81" s="14">
        <v>0</v>
      </c>
      <c r="G81" s="14">
        <v>957.5400</v>
      </c>
      <c r="H81" s="14">
        <v>0</v>
      </c>
      <c r="I81" s="14">
        <v>957.5400</v>
      </c>
      <c r="J81" s="13" t="s">
        <v>46</v>
      </c>
    </row>
    <row r="82" ht="10.95" customHeight="true" customFormat="true" s="8">
      <c r="A82" s="12">
        <v>46121</v>
      </c>
      <c r="B82" s="13" t="s">
        <v>36</v>
      </c>
      <c r="C82" s="13" t="s">
        <v>99</v>
      </c>
      <c r="D82" s="13" t="s">
        <v>88</v>
      </c>
      <c r="E82" s="13" t="s">
        <v>16</v>
      </c>
      <c r="F82" s="14">
        <v>0</v>
      </c>
      <c r="G82" s="14">
        <v>1168.9200</v>
      </c>
      <c r="H82" s="14">
        <v>0</v>
      </c>
      <c r="I82" s="14">
        <v>1168.9200</v>
      </c>
      <c r="J82" s="13" t="s">
        <v>46</v>
      </c>
    </row>
    <row r="83" ht="10.95" customHeight="true" customFormat="true" s="8">
      <c r="A83" s="12">
        <v>46121</v>
      </c>
      <c r="B83" s="13" t="s">
        <v>36</v>
      </c>
      <c r="C83" s="13" t="s">
        <v>100</v>
      </c>
      <c r="D83" s="13" t="s">
        <v>88</v>
      </c>
      <c r="E83" s="13" t="s">
        <v>16</v>
      </c>
      <c r="F83" s="14">
        <v>0</v>
      </c>
      <c r="G83" s="14">
        <v>7106.5400</v>
      </c>
      <c r="H83" s="14">
        <v>0</v>
      </c>
      <c r="I83" s="14">
        <v>7106.5400</v>
      </c>
      <c r="J83" s="13" t="s">
        <v>46</v>
      </c>
    </row>
    <row r="84" ht="10.95" customHeight="true" customFormat="true" s="8">
      <c r="A84" s="12">
        <v>46121</v>
      </c>
      <c r="B84" s="13" t="s">
        <v>36</v>
      </c>
      <c r="C84" s="13" t="s">
        <v>101</v>
      </c>
      <c r="D84" s="13" t="s">
        <v>88</v>
      </c>
      <c r="E84" s="13" t="s">
        <v>16</v>
      </c>
      <c r="F84" s="14">
        <v>0</v>
      </c>
      <c r="G84" s="14">
        <v>487.5500</v>
      </c>
      <c r="H84" s="14">
        <v>0</v>
      </c>
      <c r="I84" s="14">
        <v>487.5500</v>
      </c>
      <c r="J84" s="13" t="s">
        <v>46</v>
      </c>
    </row>
    <row r="85" ht="10.95" customHeight="true" customFormat="true" s="8">
      <c r="A85" s="12">
        <v>46121</v>
      </c>
      <c r="B85" s="13" t="s">
        <v>36</v>
      </c>
      <c r="C85" s="13" t="s">
        <v>102</v>
      </c>
      <c r="D85" s="13" t="s">
        <v>88</v>
      </c>
      <c r="E85" s="13" t="s">
        <v>16</v>
      </c>
      <c r="F85" s="14">
        <v>0</v>
      </c>
      <c r="G85" s="14">
        <v>483.6800</v>
      </c>
      <c r="H85" s="14">
        <v>0</v>
      </c>
      <c r="I85" s="14">
        <v>483.6800</v>
      </c>
      <c r="J85" s="13" t="s">
        <v>46</v>
      </c>
    </row>
    <row r="86" ht="10.95" customHeight="true" customFormat="true" s="8">
      <c r="A86" s="12">
        <v>46161</v>
      </c>
      <c r="B86" s="13" t="s">
        <v>36</v>
      </c>
      <c r="C86" s="13" t="s">
        <v>85</v>
      </c>
      <c r="D86" s="13" t="s">
        <v>103</v>
      </c>
      <c r="E86" s="13" t="s">
        <v>16</v>
      </c>
      <c r="F86" s="14">
        <v>0</v>
      </c>
      <c r="G86" s="14">
        <v>5.0000</v>
      </c>
      <c r="H86" s="14">
        <v>0</v>
      </c>
      <c r="I86" s="14">
        <v>5.0000</v>
      </c>
      <c r="J86" s="13" t="s">
        <v>46</v>
      </c>
    </row>
    <row r="87" ht="10.95" customHeight="true" customFormat="true" s="8">
      <c r="A87" s="15" t="s">
        <v>104</v>
      </c>
      <c r="B87" s="15"/>
      <c r="C87" s="15"/>
      <c r="D87" s="15"/>
      <c r="E87" s="15"/>
      <c r="F87" s="16">
        <f ca="1">SUM(F70:F86)</f>
        <v>0</v>
      </c>
      <c r="G87" s="16">
        <f ca="1">SUM(G70:G86)</f>
        <v>0</v>
      </c>
      <c r="H87" s="16">
        <f ca="1">SUM(H70:H86)</f>
        <v>0</v>
      </c>
      <c r="I87" s="16">
        <f ca="1">SUM(I70:I86)</f>
        <v>0</v>
      </c>
      <c r="J87" s="15"/>
    </row>
    <row r="88" ht="13.35" customHeight="true"/>
    <row r="89" ht="12.1" customHeight="true" customFormat="true" s="5">
      <c r="A89" s="17" t="s">
        <v>105</v>
      </c>
      <c r="B89" s="17"/>
      <c r="C89" s="17"/>
      <c r="D89" s="17"/>
      <c r="E89" s="17"/>
      <c r="F89" s="17"/>
      <c r="G89" s="17"/>
      <c r="H89" s="17"/>
      <c r="I89" s="17"/>
      <c r="J89" s="17"/>
    </row>
    <row r="90" ht="10.95" customHeight="true" customFormat="true" s="8">
      <c r="A90" s="9">
        <v>46176</v>
      </c>
      <c r="B90" s="10" t="s">
        <v>36</v>
      </c>
      <c r="C90" s="10" t="s">
        <v>106</v>
      </c>
      <c r="D90" s="10" t="s">
        <v>107</v>
      </c>
      <c r="E90" s="10" t="s">
        <v>16</v>
      </c>
      <c r="F90" s="11">
        <v>0</v>
      </c>
      <c r="G90" s="11">
        <v>1801.1100</v>
      </c>
      <c r="H90" s="11">
        <v>0</v>
      </c>
      <c r="I90" s="11">
        <v>1801.1100</v>
      </c>
      <c r="J90" s="10" t="s">
        <v>46</v>
      </c>
    </row>
    <row r="91" ht="10.95" customHeight="true" customFormat="true" s="8">
      <c r="A91" s="12">
        <v>46176</v>
      </c>
      <c r="B91" s="13" t="s">
        <v>36</v>
      </c>
      <c r="C91" s="13" t="s">
        <v>108</v>
      </c>
      <c r="D91" s="13" t="s">
        <v>107</v>
      </c>
      <c r="E91" s="13" t="s">
        <v>16</v>
      </c>
      <c r="F91" s="14">
        <v>0</v>
      </c>
      <c r="G91" s="14">
        <v>237.9200</v>
      </c>
      <c r="H91" s="14">
        <v>0</v>
      </c>
      <c r="I91" s="14">
        <v>237.9200</v>
      </c>
      <c r="J91" s="13" t="s">
        <v>46</v>
      </c>
    </row>
    <row r="92" ht="10.95" customHeight="true" customFormat="true" s="8">
      <c r="A92" s="12">
        <v>46185</v>
      </c>
      <c r="B92" s="13" t="s">
        <v>36</v>
      </c>
      <c r="C92" s="13" t="s">
        <v>109</v>
      </c>
      <c r="D92" s="13" t="s">
        <v>110</v>
      </c>
      <c r="E92" s="13" t="s">
        <v>16</v>
      </c>
      <c r="F92" s="14">
        <v>0</v>
      </c>
      <c r="G92" s="14">
        <v>1863.5300</v>
      </c>
      <c r="H92" s="14">
        <v>0</v>
      </c>
      <c r="I92" s="14">
        <v>1863.5300</v>
      </c>
      <c r="J92" s="13" t="s">
        <v>46</v>
      </c>
    </row>
    <row r="93" ht="10.95" customHeight="true" customFormat="true" s="8">
      <c r="A93" s="15" t="s">
        <v>111</v>
      </c>
      <c r="B93" s="15"/>
      <c r="C93" s="15"/>
      <c r="D93" s="15"/>
      <c r="E93" s="15"/>
      <c r="F93" s="16">
        <f ca="1">SUM(F90:F92)</f>
        <v>0</v>
      </c>
      <c r="G93" s="16">
        <f ca="1">SUM(G90:G92)</f>
        <v>0</v>
      </c>
      <c r="H93" s="16">
        <f ca="1">SUM(H90:H92)</f>
        <v>0</v>
      </c>
      <c r="I93" s="16">
        <f ca="1">SUM(I90:I92)</f>
        <v>0</v>
      </c>
      <c r="J93" s="15"/>
    </row>
    <row r="94" ht="13.35" customHeight="true"/>
    <row r="95" ht="12.1" customHeight="true" customFormat="true" s="5">
      <c r="A95" s="17" t="s">
        <v>112</v>
      </c>
      <c r="B95" s="17"/>
      <c r="C95" s="17"/>
      <c r="D95" s="17"/>
      <c r="E95" s="17"/>
      <c r="F95" s="17"/>
      <c r="G95" s="17"/>
      <c r="H95" s="17"/>
      <c r="I95" s="17"/>
      <c r="J95" s="17"/>
    </row>
    <row r="96" ht="10.95" customHeight="true" customFormat="true" s="8">
      <c r="A96" s="9">
        <v>45435</v>
      </c>
      <c r="B96" s="10" t="s">
        <v>36</v>
      </c>
      <c r="C96" s="10" t="s">
        <v>113</v>
      </c>
      <c r="D96" s="10" t="s">
        <v>114</v>
      </c>
      <c r="E96" s="10" t="s">
        <v>16</v>
      </c>
      <c r="F96" s="11">
        <v>0</v>
      </c>
      <c r="G96" s="11">
        <v>2118.6000</v>
      </c>
      <c r="H96" s="11">
        <v>0</v>
      </c>
      <c r="I96" s="11">
        <v>2118.6000</v>
      </c>
      <c r="J96" s="10" t="s">
        <v>46</v>
      </c>
    </row>
    <row r="97" ht="10.95" customHeight="true" customFormat="true" s="8">
      <c r="A97" s="12">
        <v>45435</v>
      </c>
      <c r="B97" s="13" t="s">
        <v>36</v>
      </c>
      <c r="C97" s="13" t="s">
        <v>115</v>
      </c>
      <c r="D97" s="13" t="s">
        <v>114</v>
      </c>
      <c r="E97" s="13" t="s">
        <v>16</v>
      </c>
      <c r="F97" s="14">
        <v>0</v>
      </c>
      <c r="G97" s="14">
        <v>150.0000</v>
      </c>
      <c r="H97" s="14">
        <v>0</v>
      </c>
      <c r="I97" s="14">
        <v>150.0000</v>
      </c>
      <c r="J97" s="13" t="s">
        <v>46</v>
      </c>
    </row>
    <row r="98" ht="10.95" customHeight="true" customFormat="true" s="8">
      <c r="A98" s="15" t="s">
        <v>116</v>
      </c>
      <c r="B98" s="15"/>
      <c r="C98" s="15"/>
      <c r="D98" s="15"/>
      <c r="E98" s="15"/>
      <c r="F98" s="16">
        <f ca="1">SUM(F96:F97)</f>
        <v>0</v>
      </c>
      <c r="G98" s="16">
        <f ca="1">SUM(G96:G97)</f>
        <v>0</v>
      </c>
      <c r="H98" s="16">
        <f ca="1">SUM(H96:H97)</f>
        <v>0</v>
      </c>
      <c r="I98" s="16">
        <f ca="1">SUM(I96:I97)</f>
        <v>0</v>
      </c>
      <c r="J98" s="15"/>
    </row>
    <row r="99" ht="13.35" customHeight="true"/>
    <row r="100" ht="12.1" customHeight="true" customFormat="true" s="5">
      <c r="A100" s="17" t="s">
        <v>117</v>
      </c>
      <c r="B100" s="17"/>
      <c r="C100" s="17"/>
      <c r="D100" s="17"/>
      <c r="E100" s="17"/>
      <c r="F100" s="17"/>
      <c r="G100" s="17"/>
      <c r="H100" s="17"/>
      <c r="I100" s="17"/>
      <c r="J100" s="17"/>
    </row>
    <row r="101" ht="10.95" customHeight="true" customFormat="true" s="8">
      <c r="A101" s="9">
        <v>45406</v>
      </c>
      <c r="B101" s="10" t="s">
        <v>36</v>
      </c>
      <c r="C101" s="10" t="s">
        <v>118</v>
      </c>
      <c r="D101" s="10" t="s">
        <v>119</v>
      </c>
      <c r="E101" s="10" t="s">
        <v>16</v>
      </c>
      <c r="F101" s="11">
        <v>0</v>
      </c>
      <c r="G101" s="11">
        <v>4931.8200</v>
      </c>
      <c r="H101" s="11">
        <v>0</v>
      </c>
      <c r="I101" s="11">
        <v>4931.8200</v>
      </c>
      <c r="J101" s="10" t="s">
        <v>18</v>
      </c>
    </row>
    <row r="102" ht="10.95" customHeight="true" customFormat="true" s="8">
      <c r="A102" s="15" t="s">
        <v>120</v>
      </c>
      <c r="B102" s="15"/>
      <c r="C102" s="15"/>
      <c r="D102" s="15"/>
      <c r="E102" s="15"/>
      <c r="F102" s="16">
        <f ca="1">F101</f>
        <v>0</v>
      </c>
      <c r="G102" s="16">
        <f ca="1">G101</f>
        <v>0</v>
      </c>
      <c r="H102" s="16">
        <f ca="1">H101</f>
        <v>0</v>
      </c>
      <c r="I102" s="16">
        <f ca="1">I101</f>
        <v>0</v>
      </c>
      <c r="J102" s="15"/>
    </row>
    <row r="103" ht="13.35" customHeight="true"/>
    <row r="104" ht="12.1" customHeight="true" customFormat="true" s="5">
      <c r="A104" s="17" t="s">
        <v>121</v>
      </c>
      <c r="B104" s="17"/>
      <c r="C104" s="17"/>
      <c r="D104" s="17"/>
      <c r="E104" s="17"/>
      <c r="F104" s="17"/>
      <c r="G104" s="17"/>
      <c r="H104" s="17"/>
      <c r="I104" s="17"/>
      <c r="J104" s="17"/>
    </row>
    <row r="105" ht="10.95" customHeight="true" customFormat="true" s="8">
      <c r="A105" s="9">
        <v>45736</v>
      </c>
      <c r="B105" s="10" t="s">
        <v>122</v>
      </c>
      <c r="C105" s="10" t="s">
        <v>123</v>
      </c>
      <c r="D105" s="10" t="s">
        <v>124</v>
      </c>
      <c r="E105" s="10" t="s">
        <v>16</v>
      </c>
      <c r="F105" s="11">
        <v>9415.4800</v>
      </c>
      <c r="G105" s="11">
        <v>0</v>
      </c>
      <c r="H105" s="11">
        <v>9415.4800</v>
      </c>
      <c r="I105" s="11">
        <v>0</v>
      </c>
      <c r="J105" s="10" t="s">
        <v>125</v>
      </c>
    </row>
    <row r="106" ht="10.95" customHeight="true" customFormat="true" s="8">
      <c r="A106" s="12">
        <v>45736</v>
      </c>
      <c r="B106" s="13" t="s">
        <v>122</v>
      </c>
      <c r="C106" s="13" t="s">
        <v>126</v>
      </c>
      <c r="D106" s="13" t="s">
        <v>124</v>
      </c>
      <c r="E106" s="13" t="s">
        <v>16</v>
      </c>
      <c r="F106" s="14">
        <v>0</v>
      </c>
      <c r="G106" s="14">
        <v>500.0000</v>
      </c>
      <c r="H106" s="14">
        <v>0</v>
      </c>
      <c r="I106" s="14">
        <v>500.0000</v>
      </c>
      <c r="J106" s="13" t="s">
        <v>125</v>
      </c>
    </row>
    <row r="107" ht="10.95" customHeight="true" customFormat="true" s="8">
      <c r="A107" s="15" t="s">
        <v>127</v>
      </c>
      <c r="B107" s="15"/>
      <c r="C107" s="15"/>
      <c r="D107" s="15"/>
      <c r="E107" s="15"/>
      <c r="F107" s="16">
        <f ca="1">SUM(F105:F106)</f>
        <v>0</v>
      </c>
      <c r="G107" s="16">
        <f ca="1">SUM(G105:G106)</f>
        <v>0</v>
      </c>
      <c r="H107" s="16">
        <f ca="1">SUM(H105:H106)</f>
        <v>0</v>
      </c>
      <c r="I107" s="16">
        <f ca="1">SUM(I105:I106)</f>
        <v>0</v>
      </c>
      <c r="J107" s="15"/>
    </row>
    <row r="108" ht="13.35" customHeight="true"/>
    <row r="109" ht="12.1" customHeight="true" customFormat="true" s="5">
      <c r="A109" s="17" t="s">
        <v>128</v>
      </c>
      <c r="B109" s="17"/>
      <c r="C109" s="17"/>
      <c r="D109" s="17"/>
      <c r="E109" s="17"/>
      <c r="F109" s="17"/>
      <c r="G109" s="17"/>
      <c r="H109" s="17"/>
      <c r="I109" s="17"/>
      <c r="J109" s="17"/>
    </row>
    <row r="110" ht="10.95" customHeight="true" customFormat="true" s="8">
      <c r="A110" s="9">
        <v>45449</v>
      </c>
      <c r="B110" s="10" t="s">
        <v>36</v>
      </c>
      <c r="C110" s="10" t="s">
        <v>129</v>
      </c>
      <c r="D110" s="10" t="s">
        <v>130</v>
      </c>
      <c r="E110" s="10" t="s">
        <v>16</v>
      </c>
      <c r="F110" s="11">
        <v>0</v>
      </c>
      <c r="G110" s="11">
        <v>165.2400</v>
      </c>
      <c r="H110" s="11">
        <v>0</v>
      </c>
      <c r="I110" s="11">
        <v>165.2400</v>
      </c>
      <c r="J110" s="10" t="s">
        <v>46</v>
      </c>
    </row>
    <row r="111" ht="10.95" customHeight="true" customFormat="true" s="8">
      <c r="A111" s="12">
        <v>45601</v>
      </c>
      <c r="B111" s="13" t="s">
        <v>36</v>
      </c>
      <c r="C111" s="13" t="s">
        <v>131</v>
      </c>
      <c r="D111" s="13" t="s">
        <v>132</v>
      </c>
      <c r="E111" s="13" t="s">
        <v>16</v>
      </c>
      <c r="F111" s="14">
        <v>0</v>
      </c>
      <c r="G111" s="14">
        <v>991.4400</v>
      </c>
      <c r="H111" s="14">
        <v>0</v>
      </c>
      <c r="I111" s="14">
        <v>991.4400</v>
      </c>
      <c r="J111" s="13" t="s">
        <v>46</v>
      </c>
    </row>
    <row r="112" ht="10.95" customHeight="true" customFormat="true" s="8">
      <c r="A112" s="12">
        <v>45601</v>
      </c>
      <c r="B112" s="13" t="s">
        <v>36</v>
      </c>
      <c r="C112" s="13" t="s">
        <v>133</v>
      </c>
      <c r="D112" s="13" t="s">
        <v>132</v>
      </c>
      <c r="E112" s="13" t="s">
        <v>16</v>
      </c>
      <c r="F112" s="14">
        <v>0</v>
      </c>
      <c r="G112" s="14">
        <v>153.0000</v>
      </c>
      <c r="H112" s="14">
        <v>0</v>
      </c>
      <c r="I112" s="14">
        <v>153.0000</v>
      </c>
      <c r="J112" s="13" t="s">
        <v>46</v>
      </c>
    </row>
    <row r="113" ht="10.95" customHeight="true" customFormat="true" s="8">
      <c r="A113" s="12">
        <v>45616</v>
      </c>
      <c r="B113" s="13" t="s">
        <v>36</v>
      </c>
      <c r="C113" s="13" t="s">
        <v>134</v>
      </c>
      <c r="D113" s="13" t="s">
        <v>135</v>
      </c>
      <c r="E113" s="13" t="s">
        <v>16</v>
      </c>
      <c r="F113" s="14">
        <v>0</v>
      </c>
      <c r="G113" s="14">
        <v>642.6000</v>
      </c>
      <c r="H113" s="14">
        <v>0</v>
      </c>
      <c r="I113" s="14">
        <v>642.6000</v>
      </c>
      <c r="J113" s="13" t="s">
        <v>46</v>
      </c>
    </row>
    <row r="114" ht="10.95" customHeight="true" customFormat="true" s="8">
      <c r="A114" s="12">
        <v>45686</v>
      </c>
      <c r="B114" s="13" t="s">
        <v>36</v>
      </c>
      <c r="C114" s="13" t="s">
        <v>136</v>
      </c>
      <c r="D114" s="13" t="s">
        <v>137</v>
      </c>
      <c r="E114" s="13" t="s">
        <v>16</v>
      </c>
      <c r="F114" s="14">
        <v>0</v>
      </c>
      <c r="G114" s="14">
        <v>4544.1000</v>
      </c>
      <c r="H114" s="14">
        <v>0</v>
      </c>
      <c r="I114" s="14">
        <v>4544.1000</v>
      </c>
      <c r="J114" s="13" t="s">
        <v>138</v>
      </c>
    </row>
    <row r="115" ht="10.95" customHeight="true" customFormat="true" s="8">
      <c r="A115" s="12">
        <v>45686</v>
      </c>
      <c r="B115" s="13" t="s">
        <v>36</v>
      </c>
      <c r="C115" s="13" t="s">
        <v>139</v>
      </c>
      <c r="D115" s="13" t="s">
        <v>137</v>
      </c>
      <c r="E115" s="13" t="s">
        <v>16</v>
      </c>
      <c r="F115" s="14">
        <v>0</v>
      </c>
      <c r="G115" s="14">
        <v>153.0000</v>
      </c>
      <c r="H115" s="14">
        <v>0</v>
      </c>
      <c r="I115" s="14">
        <v>153.0000</v>
      </c>
      <c r="J115" s="13" t="s">
        <v>140</v>
      </c>
    </row>
    <row r="116" ht="10.95" customHeight="true" customFormat="true" s="8">
      <c r="A116" s="12">
        <v>45866</v>
      </c>
      <c r="B116" s="13" t="s">
        <v>36</v>
      </c>
      <c r="C116" s="13" t="s">
        <v>129</v>
      </c>
      <c r="D116" s="13" t="s">
        <v>141</v>
      </c>
      <c r="E116" s="13" t="s">
        <v>16</v>
      </c>
      <c r="F116" s="14">
        <v>0</v>
      </c>
      <c r="G116" s="14">
        <v>7180.6700</v>
      </c>
      <c r="H116" s="14">
        <v>0</v>
      </c>
      <c r="I116" s="14">
        <v>7180.6700</v>
      </c>
      <c r="J116" s="13" t="s">
        <v>46</v>
      </c>
    </row>
    <row r="117" ht="10.95" customHeight="true" customFormat="true" s="8">
      <c r="A117" s="12">
        <v>45866</v>
      </c>
      <c r="B117" s="13" t="s">
        <v>36</v>
      </c>
      <c r="C117" s="13" t="s">
        <v>133</v>
      </c>
      <c r="D117" s="13" t="s">
        <v>141</v>
      </c>
      <c r="E117" s="13" t="s">
        <v>16</v>
      </c>
      <c r="F117" s="14">
        <v>0</v>
      </c>
      <c r="G117" s="14">
        <v>153.0000</v>
      </c>
      <c r="H117" s="14">
        <v>0</v>
      </c>
      <c r="I117" s="14">
        <v>153.0000</v>
      </c>
      <c r="J117" s="13" t="s">
        <v>46</v>
      </c>
    </row>
    <row r="118" ht="10.95" customHeight="true" customFormat="true" s="8">
      <c r="A118" s="15" t="s">
        <v>142</v>
      </c>
      <c r="B118" s="15"/>
      <c r="C118" s="15"/>
      <c r="D118" s="15"/>
      <c r="E118" s="15"/>
      <c r="F118" s="16">
        <f ca="1">SUM(F110:F117)</f>
        <v>0</v>
      </c>
      <c r="G118" s="16">
        <f ca="1">SUM(G110:G117)</f>
        <v>0</v>
      </c>
      <c r="H118" s="16">
        <f ca="1">SUM(H110:H117)</f>
        <v>0</v>
      </c>
      <c r="I118" s="16">
        <f ca="1">SUM(I110:I117)</f>
        <v>0</v>
      </c>
      <c r="J118" s="15"/>
    </row>
    <row r="119" ht="13.35" customHeight="true"/>
    <row r="120" ht="12.1" customHeight="true" customFormat="true" s="5">
      <c r="A120" s="17" t="s">
        <v>143</v>
      </c>
      <c r="B120" s="17"/>
      <c r="C120" s="17"/>
      <c r="D120" s="17"/>
      <c r="E120" s="17"/>
      <c r="F120" s="17"/>
      <c r="G120" s="17"/>
      <c r="H120" s="17"/>
      <c r="I120" s="17"/>
      <c r="J120" s="17"/>
    </row>
    <row r="121" ht="10.95" customHeight="true" customFormat="true" s="8">
      <c r="A121" s="9">
        <v>45771</v>
      </c>
      <c r="B121" s="10" t="s">
        <v>36</v>
      </c>
      <c r="C121" s="10" t="s">
        <v>144</v>
      </c>
      <c r="D121" s="10" t="s">
        <v>145</v>
      </c>
      <c r="E121" s="10" t="s">
        <v>16</v>
      </c>
      <c r="F121" s="11">
        <v>0</v>
      </c>
      <c r="G121" s="11">
        <v>395.2000</v>
      </c>
      <c r="H121" s="11">
        <v>0</v>
      </c>
      <c r="I121" s="11">
        <v>395.2000</v>
      </c>
      <c r="J121" s="10" t="s">
        <v>23</v>
      </c>
    </row>
    <row r="122" ht="10.95" customHeight="true" customFormat="true" s="8">
      <c r="A122" s="12">
        <v>45771</v>
      </c>
      <c r="B122" s="13" t="s">
        <v>36</v>
      </c>
      <c r="C122" s="13" t="s">
        <v>146</v>
      </c>
      <c r="D122" s="13" t="s">
        <v>145</v>
      </c>
      <c r="E122" s="13" t="s">
        <v>16</v>
      </c>
      <c r="F122" s="14">
        <v>0</v>
      </c>
      <c r="G122" s="14">
        <v>748.0000</v>
      </c>
      <c r="H122" s="14">
        <v>0</v>
      </c>
      <c r="I122" s="14">
        <v>748.0000</v>
      </c>
      <c r="J122" s="13" t="s">
        <v>23</v>
      </c>
    </row>
    <row r="123" ht="10.95" customHeight="true" customFormat="true" s="8">
      <c r="A123" s="12">
        <v>45771</v>
      </c>
      <c r="B123" s="13" t="s">
        <v>36</v>
      </c>
      <c r="C123" s="13" t="s">
        <v>147</v>
      </c>
      <c r="D123" s="13" t="s">
        <v>145</v>
      </c>
      <c r="E123" s="13" t="s">
        <v>16</v>
      </c>
      <c r="F123" s="14">
        <v>0</v>
      </c>
      <c r="G123" s="14">
        <v>1040.0000</v>
      </c>
      <c r="H123" s="14">
        <v>0</v>
      </c>
      <c r="I123" s="14">
        <v>1040.0000</v>
      </c>
      <c r="J123" s="13" t="s">
        <v>23</v>
      </c>
    </row>
    <row r="124" ht="10.95" customHeight="true" customFormat="true" s="8">
      <c r="A124" s="12">
        <v>45796</v>
      </c>
      <c r="B124" s="13" t="s">
        <v>36</v>
      </c>
      <c r="C124" s="13" t="s">
        <v>148</v>
      </c>
      <c r="D124" s="13" t="s">
        <v>149</v>
      </c>
      <c r="E124" s="13" t="s">
        <v>16</v>
      </c>
      <c r="F124" s="14">
        <v>0</v>
      </c>
      <c r="G124" s="14">
        <v>15953.1600</v>
      </c>
      <c r="H124" s="14">
        <v>0</v>
      </c>
      <c r="I124" s="14">
        <v>15953.1600</v>
      </c>
      <c r="J124" s="13" t="s">
        <v>46</v>
      </c>
    </row>
    <row r="125" ht="10.95" customHeight="true" customFormat="true" s="8">
      <c r="A125" s="12">
        <v>45796</v>
      </c>
      <c r="B125" s="13" t="s">
        <v>36</v>
      </c>
      <c r="C125" s="13" t="s">
        <v>150</v>
      </c>
      <c r="D125" s="13" t="s">
        <v>149</v>
      </c>
      <c r="E125" s="13" t="s">
        <v>16</v>
      </c>
      <c r="F125" s="14">
        <v>0</v>
      </c>
      <c r="G125" s="14">
        <v>2103.5400</v>
      </c>
      <c r="H125" s="14">
        <v>0</v>
      </c>
      <c r="I125" s="14">
        <v>2103.5400</v>
      </c>
      <c r="J125" s="13" t="s">
        <v>46</v>
      </c>
    </row>
    <row r="126" ht="10.95" customHeight="true" customFormat="true" s="8">
      <c r="A126" s="12">
        <v>45796</v>
      </c>
      <c r="B126" s="13" t="s">
        <v>36</v>
      </c>
      <c r="C126" s="13" t="s">
        <v>151</v>
      </c>
      <c r="D126" s="13" t="s">
        <v>149</v>
      </c>
      <c r="E126" s="13" t="s">
        <v>16</v>
      </c>
      <c r="F126" s="14">
        <v>0</v>
      </c>
      <c r="G126" s="14">
        <v>434.2000</v>
      </c>
      <c r="H126" s="14">
        <v>0</v>
      </c>
      <c r="I126" s="14">
        <v>434.2000</v>
      </c>
      <c r="J126" s="13" t="s">
        <v>46</v>
      </c>
    </row>
    <row r="127" ht="10.95" customHeight="true" customFormat="true" s="8">
      <c r="A127" s="12">
        <v>45796</v>
      </c>
      <c r="B127" s="13" t="s">
        <v>36</v>
      </c>
      <c r="C127" s="13" t="s">
        <v>152</v>
      </c>
      <c r="D127" s="13" t="s">
        <v>149</v>
      </c>
      <c r="E127" s="13" t="s">
        <v>16</v>
      </c>
      <c r="F127" s="14">
        <v>0</v>
      </c>
      <c r="G127" s="14">
        <v>1472.0300</v>
      </c>
      <c r="H127" s="14">
        <v>0</v>
      </c>
      <c r="I127" s="14">
        <v>1472.0300</v>
      </c>
      <c r="J127" s="13" t="s">
        <v>46</v>
      </c>
    </row>
    <row r="128" ht="10.95" customHeight="true" customFormat="true" s="8">
      <c r="A128" s="15" t="s">
        <v>153</v>
      </c>
      <c r="B128" s="15"/>
      <c r="C128" s="15"/>
      <c r="D128" s="15"/>
      <c r="E128" s="15"/>
      <c r="F128" s="16">
        <f ca="1">SUM(F121:F127)</f>
        <v>0</v>
      </c>
      <c r="G128" s="16">
        <f ca="1">SUM(G121:G127)</f>
        <v>0</v>
      </c>
      <c r="H128" s="16">
        <f ca="1">SUM(H121:H127)</f>
        <v>0</v>
      </c>
      <c r="I128" s="16">
        <f ca="1">SUM(I121:I127)</f>
        <v>0</v>
      </c>
      <c r="J128" s="15"/>
    </row>
    <row r="129" ht="13.35" customHeight="true"/>
    <row r="130" ht="12.1" customHeight="true" customFormat="true" s="5">
      <c r="A130" s="17" t="s">
        <v>154</v>
      </c>
      <c r="B130" s="17"/>
      <c r="C130" s="17"/>
      <c r="D130" s="17"/>
      <c r="E130" s="17"/>
      <c r="F130" s="17"/>
      <c r="G130" s="17"/>
      <c r="H130" s="17"/>
      <c r="I130" s="17"/>
      <c r="J130" s="17"/>
    </row>
    <row r="131" ht="10.95" customHeight="true" customFormat="true" s="8">
      <c r="A131" s="9">
        <v>45989</v>
      </c>
      <c r="B131" s="10" t="s">
        <v>36</v>
      </c>
      <c r="C131" s="10" t="s">
        <v>155</v>
      </c>
      <c r="D131" s="10" t="s">
        <v>156</v>
      </c>
      <c r="E131" s="10" t="s">
        <v>16</v>
      </c>
      <c r="F131" s="11">
        <v>0</v>
      </c>
      <c r="G131" s="11">
        <v>13068.0000</v>
      </c>
      <c r="H131" s="11">
        <v>0</v>
      </c>
      <c r="I131" s="11">
        <v>13068.0000</v>
      </c>
      <c r="J131" s="10" t="s">
        <v>46</v>
      </c>
    </row>
    <row r="132" ht="10.95" customHeight="true" customFormat="true" s="8">
      <c r="A132" s="12">
        <v>45989</v>
      </c>
      <c r="B132" s="13" t="s">
        <v>36</v>
      </c>
      <c r="C132" s="13" t="s">
        <v>157</v>
      </c>
      <c r="D132" s="13" t="s">
        <v>156</v>
      </c>
      <c r="E132" s="13" t="s">
        <v>16</v>
      </c>
      <c r="F132" s="14">
        <v>0</v>
      </c>
      <c r="G132" s="14">
        <v>2649.0000</v>
      </c>
      <c r="H132" s="14">
        <v>0</v>
      </c>
      <c r="I132" s="14">
        <v>2649.0000</v>
      </c>
      <c r="J132" s="13" t="s">
        <v>46</v>
      </c>
    </row>
    <row r="133" ht="10.95" customHeight="true" customFormat="true" s="8">
      <c r="A133" s="12">
        <v>45989</v>
      </c>
      <c r="B133" s="13" t="s">
        <v>36</v>
      </c>
      <c r="C133" s="13" t="s">
        <v>158</v>
      </c>
      <c r="D133" s="13" t="s">
        <v>156</v>
      </c>
      <c r="E133" s="13" t="s">
        <v>16</v>
      </c>
      <c r="F133" s="14">
        <v>0</v>
      </c>
      <c r="G133" s="14">
        <v>1200.0000</v>
      </c>
      <c r="H133" s="14">
        <v>0</v>
      </c>
      <c r="I133" s="14">
        <v>1200.0000</v>
      </c>
      <c r="J133" s="13" t="s">
        <v>46</v>
      </c>
    </row>
    <row r="134" ht="10.95" customHeight="true" customFormat="true" s="8">
      <c r="A134" s="15" t="s">
        <v>159</v>
      </c>
      <c r="B134" s="15"/>
      <c r="C134" s="15"/>
      <c r="D134" s="15"/>
      <c r="E134" s="15"/>
      <c r="F134" s="16">
        <f ca="1">SUM(F131:F133)</f>
        <v>0</v>
      </c>
      <c r="G134" s="16">
        <f ca="1">SUM(G131:G133)</f>
        <v>0</v>
      </c>
      <c r="H134" s="16">
        <f ca="1">SUM(H131:H133)</f>
        <v>0</v>
      </c>
      <c r="I134" s="16">
        <f ca="1">SUM(I131:I133)</f>
        <v>0</v>
      </c>
      <c r="J134" s="15"/>
    </row>
    <row r="135" ht="13.35" customHeight="true"/>
    <row r="136" ht="12.1" customHeight="true" customFormat="true" s="5">
      <c r="A136" s="17" t="s">
        <v>160</v>
      </c>
      <c r="B136" s="17"/>
      <c r="C136" s="17"/>
      <c r="D136" s="17"/>
      <c r="E136" s="17"/>
      <c r="F136" s="17"/>
      <c r="G136" s="17"/>
      <c r="H136" s="17"/>
      <c r="I136" s="17"/>
      <c r="J136" s="17"/>
    </row>
    <row r="137" ht="10.95" customHeight="true" customFormat="true" s="8">
      <c r="A137" s="9">
        <v>45362</v>
      </c>
      <c r="B137" s="10" t="s">
        <v>36</v>
      </c>
      <c r="C137" s="10" t="s">
        <v>161</v>
      </c>
      <c r="D137" s="10" t="s">
        <v>162</v>
      </c>
      <c r="E137" s="10" t="s">
        <v>16</v>
      </c>
      <c r="F137" s="11">
        <v>0</v>
      </c>
      <c r="G137" s="11">
        <v>548.4000</v>
      </c>
      <c r="H137" s="11">
        <v>0</v>
      </c>
      <c r="I137" s="11">
        <v>548.4000</v>
      </c>
      <c r="J137" s="10" t="s">
        <v>18</v>
      </c>
    </row>
    <row r="138" ht="10.95" customHeight="true" customFormat="true" s="8">
      <c r="A138" s="12">
        <v>45362</v>
      </c>
      <c r="B138" s="13" t="s">
        <v>36</v>
      </c>
      <c r="C138" s="13" t="s">
        <v>163</v>
      </c>
      <c r="D138" s="13" t="s">
        <v>162</v>
      </c>
      <c r="E138" s="13" t="s">
        <v>16</v>
      </c>
      <c r="F138" s="14">
        <v>0</v>
      </c>
      <c r="G138" s="14">
        <v>500.0000</v>
      </c>
      <c r="H138" s="14">
        <v>0</v>
      </c>
      <c r="I138" s="14">
        <v>500.0000</v>
      </c>
      <c r="J138" s="13" t="s">
        <v>20</v>
      </c>
    </row>
    <row r="139" ht="10.95" customHeight="true" customFormat="true" s="8">
      <c r="A139" s="12">
        <v>45470</v>
      </c>
      <c r="B139" s="13" t="s">
        <v>36</v>
      </c>
      <c r="C139" s="13" t="s">
        <v>164</v>
      </c>
      <c r="D139" s="13" t="s">
        <v>165</v>
      </c>
      <c r="E139" s="13" t="s">
        <v>16</v>
      </c>
      <c r="F139" s="14">
        <v>0</v>
      </c>
      <c r="G139" s="14">
        <v>499.9600</v>
      </c>
      <c r="H139" s="14">
        <v>0</v>
      </c>
      <c r="I139" s="14">
        <v>499.9600</v>
      </c>
      <c r="J139" s="13" t="s">
        <v>140</v>
      </c>
    </row>
    <row r="140" ht="10.95" customHeight="true" customFormat="true" s="8">
      <c r="A140" s="12">
        <v>45470</v>
      </c>
      <c r="B140" s="13" t="s">
        <v>36</v>
      </c>
      <c r="C140" s="13" t="s">
        <v>166</v>
      </c>
      <c r="D140" s="13" t="s">
        <v>165</v>
      </c>
      <c r="E140" s="13" t="s">
        <v>16</v>
      </c>
      <c r="F140" s="14">
        <v>0</v>
      </c>
      <c r="G140" s="14">
        <v>393.1700</v>
      </c>
      <c r="H140" s="14">
        <v>0</v>
      </c>
      <c r="I140" s="14">
        <v>393.1700</v>
      </c>
      <c r="J140" s="13" t="s">
        <v>138</v>
      </c>
    </row>
    <row r="141" ht="10.95" customHeight="true" customFormat="true" s="8">
      <c r="A141" s="12">
        <v>45470</v>
      </c>
      <c r="B141" s="13" t="s">
        <v>36</v>
      </c>
      <c r="C141" s="13" t="s">
        <v>167</v>
      </c>
      <c r="D141" s="13" t="s">
        <v>165</v>
      </c>
      <c r="E141" s="13" t="s">
        <v>16</v>
      </c>
      <c r="F141" s="14">
        <v>0</v>
      </c>
      <c r="G141" s="14">
        <v>100.0400</v>
      </c>
      <c r="H141" s="14">
        <v>0</v>
      </c>
      <c r="I141" s="14">
        <v>100.0400</v>
      </c>
      <c r="J141" s="13" t="s">
        <v>168</v>
      </c>
    </row>
    <row r="142" ht="10.95" customHeight="true" customFormat="true" s="8">
      <c r="A142" s="12">
        <v>45470</v>
      </c>
      <c r="B142" s="13" t="s">
        <v>36</v>
      </c>
      <c r="C142" s="13" t="s">
        <v>169</v>
      </c>
      <c r="D142" s="13" t="s">
        <v>165</v>
      </c>
      <c r="E142" s="13" t="s">
        <v>16</v>
      </c>
      <c r="F142" s="14">
        <v>0</v>
      </c>
      <c r="G142" s="14">
        <v>116.5000</v>
      </c>
      <c r="H142" s="14">
        <v>0</v>
      </c>
      <c r="I142" s="14">
        <v>116.5000</v>
      </c>
      <c r="J142" s="13" t="s">
        <v>140</v>
      </c>
    </row>
    <row r="143" ht="10.95" customHeight="true" customFormat="true" s="8">
      <c r="A143" s="12">
        <v>45470</v>
      </c>
      <c r="B143" s="13" t="s">
        <v>36</v>
      </c>
      <c r="C143" s="13" t="s">
        <v>170</v>
      </c>
      <c r="D143" s="13" t="s">
        <v>165</v>
      </c>
      <c r="E143" s="13" t="s">
        <v>16</v>
      </c>
      <c r="F143" s="14">
        <v>0</v>
      </c>
      <c r="G143" s="14">
        <v>17.4800</v>
      </c>
      <c r="H143" s="14">
        <v>0</v>
      </c>
      <c r="I143" s="14">
        <v>17.4800</v>
      </c>
      <c r="J143" s="13" t="s">
        <v>168</v>
      </c>
    </row>
    <row r="144" ht="10.95" customHeight="true" customFormat="true" s="8">
      <c r="A144" s="12">
        <v>45470</v>
      </c>
      <c r="B144" s="13" t="s">
        <v>36</v>
      </c>
      <c r="C144" s="13" t="s">
        <v>171</v>
      </c>
      <c r="D144" s="13" t="s">
        <v>165</v>
      </c>
      <c r="E144" s="13" t="s">
        <v>16</v>
      </c>
      <c r="F144" s="14">
        <v>0</v>
      </c>
      <c r="G144" s="14">
        <v>17.4800</v>
      </c>
      <c r="H144" s="14">
        <v>0</v>
      </c>
      <c r="I144" s="14">
        <v>17.4800</v>
      </c>
      <c r="J144" s="13" t="s">
        <v>168</v>
      </c>
    </row>
    <row r="145" ht="10.95" customHeight="true" customFormat="true" s="8">
      <c r="A145" s="12">
        <v>45470</v>
      </c>
      <c r="B145" s="13" t="s">
        <v>36</v>
      </c>
      <c r="C145" s="13" t="s">
        <v>172</v>
      </c>
      <c r="D145" s="13" t="s">
        <v>165</v>
      </c>
      <c r="E145" s="13" t="s">
        <v>16</v>
      </c>
      <c r="F145" s="14">
        <v>0</v>
      </c>
      <c r="G145" s="14">
        <v>9.7100</v>
      </c>
      <c r="H145" s="14">
        <v>0</v>
      </c>
      <c r="I145" s="14">
        <v>9.7100</v>
      </c>
      <c r="J145" s="13" t="s">
        <v>168</v>
      </c>
    </row>
    <row r="146" ht="10.95" customHeight="true" customFormat="true" s="8">
      <c r="A146" s="12">
        <v>45470</v>
      </c>
      <c r="B146" s="13" t="s">
        <v>36</v>
      </c>
      <c r="C146" s="13" t="s">
        <v>173</v>
      </c>
      <c r="D146" s="13" t="s">
        <v>165</v>
      </c>
      <c r="E146" s="13" t="s">
        <v>16</v>
      </c>
      <c r="F146" s="14">
        <v>0</v>
      </c>
      <c r="G146" s="14">
        <v>9.7100</v>
      </c>
      <c r="H146" s="14">
        <v>0</v>
      </c>
      <c r="I146" s="14">
        <v>9.7100</v>
      </c>
      <c r="J146" s="13" t="s">
        <v>168</v>
      </c>
    </row>
    <row r="147" ht="10.95" customHeight="true" customFormat="true" s="8">
      <c r="A147" s="12">
        <v>45798</v>
      </c>
      <c r="B147" s="13" t="s">
        <v>36</v>
      </c>
      <c r="C147" s="13" t="s">
        <v>174</v>
      </c>
      <c r="D147" s="13" t="s">
        <v>175</v>
      </c>
      <c r="E147" s="13" t="s">
        <v>16</v>
      </c>
      <c r="F147" s="14">
        <v>0</v>
      </c>
      <c r="G147" s="14">
        <v>37114.0000</v>
      </c>
      <c r="H147" s="14">
        <v>0</v>
      </c>
      <c r="I147" s="14">
        <v>37114.0000</v>
      </c>
      <c r="J147" s="13" t="s">
        <v>23</v>
      </c>
    </row>
    <row r="148" ht="10.95" customHeight="true" customFormat="true" s="8">
      <c r="A148" s="12">
        <v>45798</v>
      </c>
      <c r="B148" s="13" t="s">
        <v>36</v>
      </c>
      <c r="C148" s="13" t="s">
        <v>176</v>
      </c>
      <c r="D148" s="13" t="s">
        <v>175</v>
      </c>
      <c r="E148" s="13" t="s">
        <v>16</v>
      </c>
      <c r="F148" s="14">
        <v>0</v>
      </c>
      <c r="G148" s="14">
        <v>8335.8000</v>
      </c>
      <c r="H148" s="14">
        <v>0</v>
      </c>
      <c r="I148" s="14">
        <v>8335.8000</v>
      </c>
      <c r="J148" s="13" t="s">
        <v>177</v>
      </c>
    </row>
    <row r="149" ht="10.95" customHeight="true" customFormat="true" s="8">
      <c r="A149" s="12">
        <v>45860</v>
      </c>
      <c r="B149" s="13" t="s">
        <v>36</v>
      </c>
      <c r="C149" s="13" t="s">
        <v>178</v>
      </c>
      <c r="D149" s="13" t="s">
        <v>179</v>
      </c>
      <c r="E149" s="13" t="s">
        <v>16</v>
      </c>
      <c r="F149" s="14">
        <v>0</v>
      </c>
      <c r="G149" s="14">
        <v>1200.0000</v>
      </c>
      <c r="H149" s="14">
        <v>0</v>
      </c>
      <c r="I149" s="14">
        <v>1200.0000</v>
      </c>
      <c r="J149" s="13" t="s">
        <v>46</v>
      </c>
    </row>
    <row r="150" ht="10.95" customHeight="true" customFormat="true" s="8">
      <c r="A150" s="12">
        <v>45860</v>
      </c>
      <c r="B150" s="13" t="s">
        <v>36</v>
      </c>
      <c r="C150" s="13" t="s">
        <v>180</v>
      </c>
      <c r="D150" s="13" t="s">
        <v>179</v>
      </c>
      <c r="E150" s="13" t="s">
        <v>16</v>
      </c>
      <c r="F150" s="14">
        <v>0</v>
      </c>
      <c r="G150" s="14">
        <v>6600.0000</v>
      </c>
      <c r="H150" s="14">
        <v>0</v>
      </c>
      <c r="I150" s="14">
        <v>6600.0000</v>
      </c>
      <c r="J150" s="13" t="s">
        <v>46</v>
      </c>
    </row>
    <row r="151" ht="10.95" customHeight="true" customFormat="true" s="8">
      <c r="A151" s="12">
        <v>45860</v>
      </c>
      <c r="B151" s="13" t="s">
        <v>36</v>
      </c>
      <c r="C151" s="13" t="s">
        <v>181</v>
      </c>
      <c r="D151" s="13" t="s">
        <v>179</v>
      </c>
      <c r="E151" s="13" t="s">
        <v>16</v>
      </c>
      <c r="F151" s="14">
        <v>0</v>
      </c>
      <c r="G151" s="14">
        <v>3960.0000</v>
      </c>
      <c r="H151" s="14">
        <v>0</v>
      </c>
      <c r="I151" s="14">
        <v>3960.0000</v>
      </c>
      <c r="J151" s="13" t="s">
        <v>46</v>
      </c>
    </row>
    <row r="152" ht="10.95" customHeight="true" customFormat="true" s="8">
      <c r="A152" s="12">
        <v>45860</v>
      </c>
      <c r="B152" s="13" t="s">
        <v>36</v>
      </c>
      <c r="C152" s="13" t="s">
        <v>182</v>
      </c>
      <c r="D152" s="13" t="s">
        <v>179</v>
      </c>
      <c r="E152" s="13" t="s">
        <v>16</v>
      </c>
      <c r="F152" s="14">
        <v>0</v>
      </c>
      <c r="G152" s="14">
        <v>8400.0000</v>
      </c>
      <c r="H152" s="14">
        <v>0</v>
      </c>
      <c r="I152" s="14">
        <v>8400.0000</v>
      </c>
      <c r="J152" s="13" t="s">
        <v>46</v>
      </c>
    </row>
    <row r="153" ht="10.95" customHeight="true" customFormat="true" s="8">
      <c r="A153" s="12">
        <v>45889</v>
      </c>
      <c r="B153" s="13" t="s">
        <v>36</v>
      </c>
      <c r="C153" s="13" t="s">
        <v>166</v>
      </c>
      <c r="D153" s="13" t="s">
        <v>183</v>
      </c>
      <c r="E153" s="13" t="s">
        <v>16</v>
      </c>
      <c r="F153" s="14">
        <v>0</v>
      </c>
      <c r="G153" s="14">
        <v>202.5000</v>
      </c>
      <c r="H153" s="14">
        <v>0</v>
      </c>
      <c r="I153" s="14">
        <v>202.5000</v>
      </c>
      <c r="J153" s="13" t="s">
        <v>46</v>
      </c>
    </row>
    <row r="154" ht="10.95" customHeight="true" customFormat="true" s="8">
      <c r="A154" s="12">
        <v>45930</v>
      </c>
      <c r="B154" s="13" t="s">
        <v>36</v>
      </c>
      <c r="C154" s="13" t="s">
        <v>184</v>
      </c>
      <c r="D154" s="13" t="s">
        <v>185</v>
      </c>
      <c r="E154" s="13" t="s">
        <v>16</v>
      </c>
      <c r="F154" s="14">
        <v>0</v>
      </c>
      <c r="G154" s="14">
        <v>828.0000</v>
      </c>
      <c r="H154" s="14">
        <v>0</v>
      </c>
      <c r="I154" s="14">
        <v>828.0000</v>
      </c>
      <c r="J154" s="13" t="s">
        <v>46</v>
      </c>
    </row>
    <row r="155" ht="10.95" customHeight="true" customFormat="true" s="8">
      <c r="A155" s="12">
        <v>45937</v>
      </c>
      <c r="B155" s="13" t="s">
        <v>36</v>
      </c>
      <c r="C155" s="13" t="s">
        <v>164</v>
      </c>
      <c r="D155" s="13" t="s">
        <v>186</v>
      </c>
      <c r="E155" s="13" t="s">
        <v>16</v>
      </c>
      <c r="F155" s="14">
        <v>0</v>
      </c>
      <c r="G155" s="14">
        <v>1074.5800</v>
      </c>
      <c r="H155" s="14">
        <v>0</v>
      </c>
      <c r="I155" s="14">
        <v>1074.5800</v>
      </c>
      <c r="J155" s="13" t="s">
        <v>46</v>
      </c>
    </row>
    <row r="156" ht="10.95" customHeight="true" customFormat="true" s="8">
      <c r="A156" s="12">
        <v>45937</v>
      </c>
      <c r="B156" s="13" t="s">
        <v>36</v>
      </c>
      <c r="C156" s="13" t="s">
        <v>187</v>
      </c>
      <c r="D156" s="13" t="s">
        <v>186</v>
      </c>
      <c r="E156" s="13" t="s">
        <v>16</v>
      </c>
      <c r="F156" s="14">
        <v>0</v>
      </c>
      <c r="G156" s="14">
        <v>281.2500</v>
      </c>
      <c r="H156" s="14">
        <v>0</v>
      </c>
      <c r="I156" s="14">
        <v>281.2500</v>
      </c>
      <c r="J156" s="13" t="s">
        <v>46</v>
      </c>
    </row>
    <row r="157" ht="10.95" customHeight="true" customFormat="true" s="8">
      <c r="A157" s="12">
        <v>45937</v>
      </c>
      <c r="B157" s="13" t="s">
        <v>36</v>
      </c>
      <c r="C157" s="13" t="s">
        <v>188</v>
      </c>
      <c r="D157" s="13" t="s">
        <v>186</v>
      </c>
      <c r="E157" s="13" t="s">
        <v>16</v>
      </c>
      <c r="F157" s="14">
        <v>0</v>
      </c>
      <c r="G157" s="14">
        <v>1462.5000</v>
      </c>
      <c r="H157" s="14">
        <v>0</v>
      </c>
      <c r="I157" s="14">
        <v>1462.5000</v>
      </c>
      <c r="J157" s="13" t="s">
        <v>46</v>
      </c>
    </row>
    <row r="158" ht="10.95" customHeight="true" customFormat="true" s="8">
      <c r="A158" s="12">
        <v>45937</v>
      </c>
      <c r="B158" s="13" t="s">
        <v>36</v>
      </c>
      <c r="C158" s="13" t="s">
        <v>189</v>
      </c>
      <c r="D158" s="13" t="s">
        <v>186</v>
      </c>
      <c r="E158" s="13" t="s">
        <v>16</v>
      </c>
      <c r="F158" s="14">
        <v>0</v>
      </c>
      <c r="G158" s="14">
        <v>750.0000</v>
      </c>
      <c r="H158" s="14">
        <v>0</v>
      </c>
      <c r="I158" s="14">
        <v>750.0000</v>
      </c>
      <c r="J158" s="13" t="s">
        <v>46</v>
      </c>
    </row>
    <row r="159" ht="10.95" customHeight="true" customFormat="true" s="8">
      <c r="A159" s="12">
        <v>45937</v>
      </c>
      <c r="B159" s="13" t="s">
        <v>36</v>
      </c>
      <c r="C159" s="13" t="s">
        <v>190</v>
      </c>
      <c r="D159" s="13" t="s">
        <v>186</v>
      </c>
      <c r="E159" s="13" t="s">
        <v>16</v>
      </c>
      <c r="F159" s="14">
        <v>0</v>
      </c>
      <c r="G159" s="14">
        <v>10500.0000</v>
      </c>
      <c r="H159" s="14">
        <v>0</v>
      </c>
      <c r="I159" s="14">
        <v>10500.0000</v>
      </c>
      <c r="J159" s="13" t="s">
        <v>46</v>
      </c>
    </row>
    <row r="160" ht="10.95" customHeight="true" customFormat="true" s="8">
      <c r="A160" s="12">
        <v>45937</v>
      </c>
      <c r="B160" s="13" t="s">
        <v>36</v>
      </c>
      <c r="C160" s="13" t="s">
        <v>191</v>
      </c>
      <c r="D160" s="13" t="s">
        <v>186</v>
      </c>
      <c r="E160" s="13" t="s">
        <v>16</v>
      </c>
      <c r="F160" s="14">
        <v>0</v>
      </c>
      <c r="G160" s="14">
        <v>1162.5000</v>
      </c>
      <c r="H160" s="14">
        <v>0</v>
      </c>
      <c r="I160" s="14">
        <v>1162.5000</v>
      </c>
      <c r="J160" s="13" t="s">
        <v>46</v>
      </c>
    </row>
    <row r="161" ht="10.95" customHeight="true" customFormat="true" s="8">
      <c r="A161" s="12">
        <v>45937</v>
      </c>
      <c r="B161" s="13" t="s">
        <v>36</v>
      </c>
      <c r="C161" s="13" t="s">
        <v>192</v>
      </c>
      <c r="D161" s="13" t="s">
        <v>186</v>
      </c>
      <c r="E161" s="13" t="s">
        <v>16</v>
      </c>
      <c r="F161" s="14">
        <v>0</v>
      </c>
      <c r="G161" s="14">
        <v>8577.2500</v>
      </c>
      <c r="H161" s="14">
        <v>0</v>
      </c>
      <c r="I161" s="14">
        <v>8577.2500</v>
      </c>
      <c r="J161" s="13" t="s">
        <v>46</v>
      </c>
    </row>
    <row r="162" ht="10.95" customHeight="true" customFormat="true" s="8">
      <c r="A162" s="12">
        <v>46195</v>
      </c>
      <c r="B162" s="13" t="s">
        <v>36</v>
      </c>
      <c r="C162" s="13" t="s">
        <v>193</v>
      </c>
      <c r="D162" s="13" t="s">
        <v>194</v>
      </c>
      <c r="E162" s="13" t="s">
        <v>16</v>
      </c>
      <c r="F162" s="14">
        <v>0</v>
      </c>
      <c r="G162" s="14">
        <v>29791.6600</v>
      </c>
      <c r="H162" s="14">
        <v>0</v>
      </c>
      <c r="I162" s="14">
        <v>29791.6600</v>
      </c>
      <c r="J162" s="13" t="s">
        <v>46</v>
      </c>
    </row>
    <row r="163" ht="10.95" customHeight="true" customFormat="true" s="8">
      <c r="A163" s="12">
        <v>46195</v>
      </c>
      <c r="B163" s="13" t="s">
        <v>36</v>
      </c>
      <c r="C163" s="13" t="s">
        <v>195</v>
      </c>
      <c r="D163" s="13" t="s">
        <v>194</v>
      </c>
      <c r="E163" s="13" t="s">
        <v>16</v>
      </c>
      <c r="F163" s="14">
        <v>0</v>
      </c>
      <c r="G163" s="14">
        <v>2816.6600</v>
      </c>
      <c r="H163" s="14">
        <v>0</v>
      </c>
      <c r="I163" s="14">
        <v>2816.6600</v>
      </c>
      <c r="J163" s="13" t="s">
        <v>46</v>
      </c>
    </row>
    <row r="164" ht="10.95" customHeight="true" customFormat="true" s="8">
      <c r="A164" s="12">
        <v>46195</v>
      </c>
      <c r="B164" s="13" t="s">
        <v>36</v>
      </c>
      <c r="C164" s="13" t="s">
        <v>196</v>
      </c>
      <c r="D164" s="13" t="s">
        <v>194</v>
      </c>
      <c r="E164" s="13" t="s">
        <v>16</v>
      </c>
      <c r="F164" s="14">
        <v>0</v>
      </c>
      <c r="G164" s="14">
        <v>1170.0000</v>
      </c>
      <c r="H164" s="14">
        <v>0</v>
      </c>
      <c r="I164" s="14">
        <v>1170.0000</v>
      </c>
      <c r="J164" s="13" t="s">
        <v>46</v>
      </c>
    </row>
    <row r="165" ht="10.95" customHeight="true" customFormat="true" s="8">
      <c r="A165" s="12">
        <v>46195</v>
      </c>
      <c r="B165" s="13" t="s">
        <v>36</v>
      </c>
      <c r="C165" s="13" t="s">
        <v>197</v>
      </c>
      <c r="D165" s="13" t="s">
        <v>194</v>
      </c>
      <c r="E165" s="13" t="s">
        <v>16</v>
      </c>
      <c r="F165" s="14">
        <v>0</v>
      </c>
      <c r="G165" s="14">
        <v>1170.0000</v>
      </c>
      <c r="H165" s="14">
        <v>0</v>
      </c>
      <c r="I165" s="14">
        <v>1170.0000</v>
      </c>
      <c r="J165" s="13" t="s">
        <v>46</v>
      </c>
    </row>
    <row r="166" ht="10.95" customHeight="true" customFormat="true" s="8">
      <c r="A166" s="12">
        <v>46195</v>
      </c>
      <c r="B166" s="13" t="s">
        <v>36</v>
      </c>
      <c r="C166" s="13" t="s">
        <v>198</v>
      </c>
      <c r="D166" s="13" t="s">
        <v>194</v>
      </c>
      <c r="E166" s="13" t="s">
        <v>16</v>
      </c>
      <c r="F166" s="14">
        <v>0</v>
      </c>
      <c r="G166" s="14">
        <v>746.7800</v>
      </c>
      <c r="H166" s="14">
        <v>0</v>
      </c>
      <c r="I166" s="14">
        <v>746.7800</v>
      </c>
      <c r="J166" s="13" t="s">
        <v>46</v>
      </c>
    </row>
    <row r="167" ht="10.95" customHeight="true" customFormat="true" s="8">
      <c r="A167" s="12">
        <v>46195</v>
      </c>
      <c r="B167" s="13" t="s">
        <v>36</v>
      </c>
      <c r="C167" s="13" t="s">
        <v>199</v>
      </c>
      <c r="D167" s="13" t="s">
        <v>194</v>
      </c>
      <c r="E167" s="13" t="s">
        <v>16</v>
      </c>
      <c r="F167" s="14">
        <v>0</v>
      </c>
      <c r="G167" s="14">
        <v>748.9700</v>
      </c>
      <c r="H167" s="14">
        <v>0</v>
      </c>
      <c r="I167" s="14">
        <v>748.9700</v>
      </c>
      <c r="J167" s="13" t="s">
        <v>46</v>
      </c>
    </row>
    <row r="168" ht="10.95" customHeight="true" customFormat="true" s="8">
      <c r="A168" s="12">
        <v>46195</v>
      </c>
      <c r="B168" s="13" t="s">
        <v>36</v>
      </c>
      <c r="C168" s="13" t="s">
        <v>200</v>
      </c>
      <c r="D168" s="13" t="s">
        <v>194</v>
      </c>
      <c r="E168" s="13" t="s">
        <v>16</v>
      </c>
      <c r="F168" s="14">
        <v>0</v>
      </c>
      <c r="G168" s="14">
        <v>750.6100</v>
      </c>
      <c r="H168" s="14">
        <v>0</v>
      </c>
      <c r="I168" s="14">
        <v>750.6100</v>
      </c>
      <c r="J168" s="13" t="s">
        <v>46</v>
      </c>
    </row>
    <row r="169" ht="10.95" customHeight="true" customFormat="true" s="8">
      <c r="A169" s="12">
        <v>46195</v>
      </c>
      <c r="B169" s="13" t="s">
        <v>36</v>
      </c>
      <c r="C169" s="13" t="s">
        <v>201</v>
      </c>
      <c r="D169" s="13" t="s">
        <v>194</v>
      </c>
      <c r="E169" s="13" t="s">
        <v>16</v>
      </c>
      <c r="F169" s="14">
        <v>0</v>
      </c>
      <c r="G169" s="14">
        <v>751.1600</v>
      </c>
      <c r="H169" s="14">
        <v>0</v>
      </c>
      <c r="I169" s="14">
        <v>751.1600</v>
      </c>
      <c r="J169" s="13" t="s">
        <v>46</v>
      </c>
    </row>
    <row r="170" ht="10.95" customHeight="true" customFormat="true" s="8">
      <c r="A170" s="12">
        <v>46195</v>
      </c>
      <c r="B170" s="13" t="s">
        <v>36</v>
      </c>
      <c r="C170" s="13" t="s">
        <v>202</v>
      </c>
      <c r="D170" s="13" t="s">
        <v>194</v>
      </c>
      <c r="E170" s="13" t="s">
        <v>16</v>
      </c>
      <c r="F170" s="14">
        <v>0</v>
      </c>
      <c r="G170" s="14">
        <v>789.4800</v>
      </c>
      <c r="H170" s="14">
        <v>0</v>
      </c>
      <c r="I170" s="14">
        <v>789.4800</v>
      </c>
      <c r="J170" s="13" t="s">
        <v>46</v>
      </c>
    </row>
    <row r="171" ht="10.95" customHeight="true" customFormat="true" s="8">
      <c r="A171" s="12">
        <v>46195</v>
      </c>
      <c r="B171" s="13" t="s">
        <v>36</v>
      </c>
      <c r="C171" s="13" t="s">
        <v>203</v>
      </c>
      <c r="D171" s="13" t="s">
        <v>194</v>
      </c>
      <c r="E171" s="13" t="s">
        <v>16</v>
      </c>
      <c r="F171" s="14">
        <v>0</v>
      </c>
      <c r="G171" s="14">
        <v>745.4200</v>
      </c>
      <c r="H171" s="14">
        <v>0</v>
      </c>
      <c r="I171" s="14">
        <v>745.4200</v>
      </c>
      <c r="J171" s="13" t="s">
        <v>46</v>
      </c>
    </row>
    <row r="172" ht="10.95" customHeight="true" customFormat="true" s="8">
      <c r="A172" s="12">
        <v>46195</v>
      </c>
      <c r="B172" s="13" t="s">
        <v>36</v>
      </c>
      <c r="C172" s="13" t="s">
        <v>204</v>
      </c>
      <c r="D172" s="13" t="s">
        <v>194</v>
      </c>
      <c r="E172" s="13" t="s">
        <v>16</v>
      </c>
      <c r="F172" s="14">
        <v>0</v>
      </c>
      <c r="G172" s="14">
        <v>745.1400</v>
      </c>
      <c r="H172" s="14">
        <v>0</v>
      </c>
      <c r="I172" s="14">
        <v>745.1400</v>
      </c>
      <c r="J172" s="13" t="s">
        <v>46</v>
      </c>
    </row>
    <row r="173" ht="10.95" customHeight="true" customFormat="true" s="8">
      <c r="A173" s="12">
        <v>46195</v>
      </c>
      <c r="B173" s="13" t="s">
        <v>36</v>
      </c>
      <c r="C173" s="13" t="s">
        <v>205</v>
      </c>
      <c r="D173" s="13" t="s">
        <v>194</v>
      </c>
      <c r="E173" s="13" t="s">
        <v>16</v>
      </c>
      <c r="F173" s="14">
        <v>0</v>
      </c>
      <c r="G173" s="14">
        <v>745.6900</v>
      </c>
      <c r="H173" s="14">
        <v>0</v>
      </c>
      <c r="I173" s="14">
        <v>745.6900</v>
      </c>
      <c r="J173" s="13" t="s">
        <v>46</v>
      </c>
    </row>
    <row r="174" ht="10.95" customHeight="true" customFormat="true" s="8">
      <c r="A174" s="12">
        <v>46195</v>
      </c>
      <c r="B174" s="13" t="s">
        <v>36</v>
      </c>
      <c r="C174" s="13" t="s">
        <v>206</v>
      </c>
      <c r="D174" s="13" t="s">
        <v>194</v>
      </c>
      <c r="E174" s="13" t="s">
        <v>16</v>
      </c>
      <c r="F174" s="14">
        <v>0</v>
      </c>
      <c r="G174" s="14">
        <v>749.2400</v>
      </c>
      <c r="H174" s="14">
        <v>0</v>
      </c>
      <c r="I174" s="14">
        <v>749.2400</v>
      </c>
      <c r="J174" s="13" t="s">
        <v>46</v>
      </c>
    </row>
    <row r="175" ht="10.95" customHeight="true" customFormat="true" s="8">
      <c r="A175" s="12">
        <v>46195</v>
      </c>
      <c r="B175" s="13" t="s">
        <v>36</v>
      </c>
      <c r="C175" s="13" t="s">
        <v>207</v>
      </c>
      <c r="D175" s="13" t="s">
        <v>194</v>
      </c>
      <c r="E175" s="13" t="s">
        <v>16</v>
      </c>
      <c r="F175" s="14">
        <v>0</v>
      </c>
      <c r="G175" s="14">
        <v>803.2100</v>
      </c>
      <c r="H175" s="14">
        <v>0</v>
      </c>
      <c r="I175" s="14">
        <v>803.2100</v>
      </c>
      <c r="J175" s="13" t="s">
        <v>46</v>
      </c>
    </row>
    <row r="176" ht="10.95" customHeight="true" customFormat="true" s="8">
      <c r="A176" s="15" t="s">
        <v>208</v>
      </c>
      <c r="B176" s="15"/>
      <c r="C176" s="15"/>
      <c r="D176" s="15"/>
      <c r="E176" s="15"/>
      <c r="F176" s="16">
        <f ca="1">SUM(F137:F175)</f>
        <v>0</v>
      </c>
      <c r="G176" s="16">
        <f ca="1">SUM(G137:G175)</f>
        <v>0</v>
      </c>
      <c r="H176" s="16">
        <f ca="1">SUM(H137:H175)</f>
        <v>0</v>
      </c>
      <c r="I176" s="16">
        <f ca="1">SUM(I137:I175)</f>
        <v>0</v>
      </c>
      <c r="J176" s="15"/>
    </row>
    <row r="177" ht="13.35" customHeight="true"/>
    <row r="178" ht="12.1" customHeight="true" customFormat="true" s="5">
      <c r="A178" s="17" t="s">
        <v>209</v>
      </c>
      <c r="B178" s="17"/>
      <c r="C178" s="17"/>
      <c r="D178" s="17"/>
      <c r="E178" s="17"/>
      <c r="F178" s="17"/>
      <c r="G178" s="17"/>
      <c r="H178" s="17"/>
      <c r="I178" s="17"/>
      <c r="J178" s="17"/>
    </row>
    <row r="179" ht="21.3" customHeight="true" customFormat="true" s="8">
      <c r="A179" s="9">
        <v>45681</v>
      </c>
      <c r="B179" s="10" t="s">
        <v>210</v>
      </c>
      <c r="C179" s="18" t="s">
        <v>211</v>
      </c>
      <c r="D179" s="10"/>
      <c r="E179" s="10" t="s">
        <v>16</v>
      </c>
      <c r="F179" s="11">
        <v>198.9600</v>
      </c>
      <c r="G179" s="11">
        <v>0</v>
      </c>
      <c r="H179" s="11">
        <v>198.9600</v>
      </c>
      <c r="I179" s="11">
        <v>0</v>
      </c>
      <c r="J179" s="10" t="s">
        <v>140</v>
      </c>
    </row>
    <row r="180" ht="10.95" customHeight="true" customFormat="true" s="8">
      <c r="A180" s="15" t="s">
        <v>212</v>
      </c>
      <c r="B180" s="15"/>
      <c r="C180" s="15"/>
      <c r="D180" s="15"/>
      <c r="E180" s="15"/>
      <c r="F180" s="16">
        <f ca="1">F179</f>
        <v>0</v>
      </c>
      <c r="G180" s="16">
        <f ca="1">G179</f>
        <v>0</v>
      </c>
      <c r="H180" s="16">
        <f ca="1">H179</f>
        <v>0</v>
      </c>
      <c r="I180" s="16">
        <f ca="1">I179</f>
        <v>0</v>
      </c>
      <c r="J180" s="15"/>
    </row>
    <row r="181" ht="13.35" customHeight="true"/>
    <row r="182" ht="12.1" customHeight="true" customFormat="true" s="5">
      <c r="A182" s="17" t="s">
        <v>213</v>
      </c>
      <c r="B182" s="17"/>
      <c r="C182" s="17"/>
      <c r="D182" s="17"/>
      <c r="E182" s="17"/>
      <c r="F182" s="17"/>
      <c r="G182" s="17"/>
      <c r="H182" s="17"/>
      <c r="I182" s="17"/>
      <c r="J182" s="17"/>
    </row>
    <row r="183" ht="10.95" customHeight="true" customFormat="true" s="8">
      <c r="A183" s="9">
        <v>45576</v>
      </c>
      <c r="B183" s="10" t="s">
        <v>36</v>
      </c>
      <c r="C183" s="10" t="s">
        <v>214</v>
      </c>
      <c r="D183" s="10" t="s">
        <v>215</v>
      </c>
      <c r="E183" s="10" t="s">
        <v>16</v>
      </c>
      <c r="F183" s="11">
        <v>0</v>
      </c>
      <c r="G183" s="11">
        <v>24422.8500</v>
      </c>
      <c r="H183" s="11">
        <v>0</v>
      </c>
      <c r="I183" s="11">
        <v>24422.8500</v>
      </c>
      <c r="J183" s="10" t="s">
        <v>23</v>
      </c>
    </row>
    <row r="184" ht="10.95" customHeight="true" customFormat="true" s="8">
      <c r="A184" s="12">
        <v>45576</v>
      </c>
      <c r="B184" s="13" t="s">
        <v>36</v>
      </c>
      <c r="C184" s="13" t="s">
        <v>216</v>
      </c>
      <c r="D184" s="13" t="s">
        <v>215</v>
      </c>
      <c r="E184" s="13" t="s">
        <v>16</v>
      </c>
      <c r="F184" s="14">
        <v>0</v>
      </c>
      <c r="G184" s="14">
        <v>2544.8900</v>
      </c>
      <c r="H184" s="14">
        <v>0</v>
      </c>
      <c r="I184" s="14">
        <v>2544.8900</v>
      </c>
      <c r="J184" s="13" t="s">
        <v>24</v>
      </c>
    </row>
    <row r="185" ht="10.95" customHeight="true" customFormat="true" s="8">
      <c r="A185" s="12">
        <v>45576</v>
      </c>
      <c r="B185" s="13" t="s">
        <v>36</v>
      </c>
      <c r="C185" s="13" t="s">
        <v>217</v>
      </c>
      <c r="D185" s="13" t="s">
        <v>215</v>
      </c>
      <c r="E185" s="13" t="s">
        <v>16</v>
      </c>
      <c r="F185" s="14">
        <v>0</v>
      </c>
      <c r="G185" s="14">
        <v>795.6000</v>
      </c>
      <c r="H185" s="14">
        <v>0</v>
      </c>
      <c r="I185" s="14">
        <v>795.6000</v>
      </c>
      <c r="J185" s="13" t="s">
        <v>218</v>
      </c>
    </row>
    <row r="186" ht="10.95" customHeight="true" customFormat="true" s="8">
      <c r="A186" s="12">
        <v>45576</v>
      </c>
      <c r="B186" s="13" t="s">
        <v>36</v>
      </c>
      <c r="C186" s="13" t="s">
        <v>219</v>
      </c>
      <c r="D186" s="13" t="s">
        <v>215</v>
      </c>
      <c r="E186" s="13" t="s">
        <v>16</v>
      </c>
      <c r="F186" s="14">
        <v>0</v>
      </c>
      <c r="G186" s="14">
        <v>795.6000</v>
      </c>
      <c r="H186" s="14">
        <v>0</v>
      </c>
      <c r="I186" s="14">
        <v>795.6000</v>
      </c>
      <c r="J186" s="13" t="s">
        <v>218</v>
      </c>
    </row>
    <row r="187" ht="10.95" customHeight="true" customFormat="true" s="8">
      <c r="A187" s="12">
        <v>45576</v>
      </c>
      <c r="B187" s="13" t="s">
        <v>36</v>
      </c>
      <c r="C187" s="13" t="s">
        <v>220</v>
      </c>
      <c r="D187" s="13" t="s">
        <v>215</v>
      </c>
      <c r="E187" s="13" t="s">
        <v>16</v>
      </c>
      <c r="F187" s="14">
        <v>0</v>
      </c>
      <c r="G187" s="14">
        <v>1508.2500</v>
      </c>
      <c r="H187" s="14">
        <v>0</v>
      </c>
      <c r="I187" s="14">
        <v>1508.2500</v>
      </c>
      <c r="J187" s="13" t="s">
        <v>221</v>
      </c>
    </row>
    <row r="188" ht="10.95" customHeight="true" customFormat="true" s="8">
      <c r="A188" s="15" t="s">
        <v>222</v>
      </c>
      <c r="B188" s="15"/>
      <c r="C188" s="15"/>
      <c r="D188" s="15"/>
      <c r="E188" s="15"/>
      <c r="F188" s="16">
        <f ca="1">SUM(F183:F187)</f>
        <v>0</v>
      </c>
      <c r="G188" s="16">
        <f ca="1">SUM(G183:G187)</f>
        <v>0</v>
      </c>
      <c r="H188" s="16">
        <f ca="1">SUM(H183:H187)</f>
        <v>0</v>
      </c>
      <c r="I188" s="16">
        <f ca="1">SUM(I183:I187)</f>
        <v>0</v>
      </c>
      <c r="J188" s="15"/>
    </row>
    <row r="189" ht="13.35" customHeight="true"/>
    <row r="190" ht="12.1" customHeight="true" customFormat="true" s="5">
      <c r="A190" s="17" t="s">
        <v>223</v>
      </c>
      <c r="B190" s="17"/>
      <c r="C190" s="17"/>
      <c r="D190" s="17"/>
      <c r="E190" s="17"/>
      <c r="F190" s="17"/>
      <c r="G190" s="17"/>
      <c r="H190" s="17"/>
      <c r="I190" s="17"/>
      <c r="J190" s="17"/>
    </row>
    <row r="191" ht="10.95" customHeight="true" customFormat="true" s="8">
      <c r="A191" s="9">
        <v>45680</v>
      </c>
      <c r="B191" s="10" t="s">
        <v>36</v>
      </c>
      <c r="C191" s="10" t="s">
        <v>224</v>
      </c>
      <c r="D191" s="10" t="s">
        <v>225</v>
      </c>
      <c r="E191" s="10" t="s">
        <v>16</v>
      </c>
      <c r="F191" s="11">
        <v>0</v>
      </c>
      <c r="G191" s="11">
        <v>1122.0000</v>
      </c>
      <c r="H191" s="11">
        <v>0</v>
      </c>
      <c r="I191" s="11">
        <v>1122.0000</v>
      </c>
      <c r="J191" s="10" t="s">
        <v>41</v>
      </c>
    </row>
    <row r="192" ht="10.95" customHeight="true" customFormat="true" s="8">
      <c r="A192" s="12">
        <v>45680</v>
      </c>
      <c r="B192" s="13" t="s">
        <v>36</v>
      </c>
      <c r="C192" s="13" t="s">
        <v>226</v>
      </c>
      <c r="D192" s="13" t="s">
        <v>225</v>
      </c>
      <c r="E192" s="13" t="s">
        <v>16</v>
      </c>
      <c r="F192" s="14">
        <v>0</v>
      </c>
      <c r="G192" s="14">
        <v>1122.0000</v>
      </c>
      <c r="H192" s="14">
        <v>0</v>
      </c>
      <c r="I192" s="14">
        <v>1122.0000</v>
      </c>
      <c r="J192" s="13" t="s">
        <v>41</v>
      </c>
    </row>
    <row r="193" ht="10.95" customHeight="true" customFormat="true" s="8">
      <c r="A193" s="12">
        <v>45680</v>
      </c>
      <c r="B193" s="13" t="s">
        <v>36</v>
      </c>
      <c r="C193" s="13" t="s">
        <v>227</v>
      </c>
      <c r="D193" s="13" t="s">
        <v>225</v>
      </c>
      <c r="E193" s="13" t="s">
        <v>16</v>
      </c>
      <c r="F193" s="14">
        <v>0</v>
      </c>
      <c r="G193" s="14">
        <v>246.5000</v>
      </c>
      <c r="H193" s="14">
        <v>0</v>
      </c>
      <c r="I193" s="14">
        <v>246.5000</v>
      </c>
      <c r="J193" s="13" t="s">
        <v>41</v>
      </c>
    </row>
    <row r="194" ht="10.95" customHeight="true" customFormat="true" s="8">
      <c r="A194" s="12">
        <v>45680</v>
      </c>
      <c r="B194" s="13" t="s">
        <v>36</v>
      </c>
      <c r="C194" s="13" t="s">
        <v>228</v>
      </c>
      <c r="D194" s="13" t="s">
        <v>225</v>
      </c>
      <c r="E194" s="13" t="s">
        <v>16</v>
      </c>
      <c r="F194" s="14">
        <v>0</v>
      </c>
      <c r="G194" s="14">
        <v>390.0000</v>
      </c>
      <c r="H194" s="14">
        <v>0</v>
      </c>
      <c r="I194" s="14">
        <v>390.0000</v>
      </c>
      <c r="J194" s="13" t="s">
        <v>218</v>
      </c>
    </row>
    <row r="195" ht="10.95" customHeight="true" customFormat="true" s="8">
      <c r="A195" s="12">
        <v>45680</v>
      </c>
      <c r="B195" s="13" t="s">
        <v>36</v>
      </c>
      <c r="C195" s="13" t="s">
        <v>229</v>
      </c>
      <c r="D195" s="13" t="s">
        <v>225</v>
      </c>
      <c r="E195" s="13" t="s">
        <v>16</v>
      </c>
      <c r="F195" s="14">
        <v>0</v>
      </c>
      <c r="G195" s="14">
        <v>390.0000</v>
      </c>
      <c r="H195" s="14">
        <v>0</v>
      </c>
      <c r="I195" s="14">
        <v>390.0000</v>
      </c>
      <c r="J195" s="13" t="s">
        <v>218</v>
      </c>
    </row>
    <row r="196" ht="10.95" customHeight="true" customFormat="true" s="8">
      <c r="A196" s="12">
        <v>45786</v>
      </c>
      <c r="B196" s="13" t="s">
        <v>36</v>
      </c>
      <c r="C196" s="13" t="s">
        <v>228</v>
      </c>
      <c r="D196" s="13" t="s">
        <v>230</v>
      </c>
      <c r="E196" s="13" t="s">
        <v>16</v>
      </c>
      <c r="F196" s="14">
        <v>0</v>
      </c>
      <c r="G196" s="14">
        <v>400.1800</v>
      </c>
      <c r="H196" s="14">
        <v>0</v>
      </c>
      <c r="I196" s="14">
        <v>400.1800</v>
      </c>
      <c r="J196" s="13" t="s">
        <v>46</v>
      </c>
    </row>
    <row r="197" ht="10.95" customHeight="true" customFormat="true" s="8">
      <c r="A197" s="12">
        <v>45786</v>
      </c>
      <c r="B197" s="13" t="s">
        <v>36</v>
      </c>
      <c r="C197" s="13" t="s">
        <v>229</v>
      </c>
      <c r="D197" s="13" t="s">
        <v>230</v>
      </c>
      <c r="E197" s="13" t="s">
        <v>16</v>
      </c>
      <c r="F197" s="14">
        <v>0</v>
      </c>
      <c r="G197" s="14">
        <v>400.1800</v>
      </c>
      <c r="H197" s="14">
        <v>0</v>
      </c>
      <c r="I197" s="14">
        <v>400.1800</v>
      </c>
      <c r="J197" s="13" t="s">
        <v>46</v>
      </c>
    </row>
    <row r="198" ht="10.95" customHeight="true" customFormat="true" s="8">
      <c r="A198" s="15" t="s">
        <v>231</v>
      </c>
      <c r="B198" s="15"/>
      <c r="C198" s="15"/>
      <c r="D198" s="15"/>
      <c r="E198" s="15"/>
      <c r="F198" s="16">
        <f ca="1">SUM(F191:F197)</f>
        <v>0</v>
      </c>
      <c r="G198" s="16">
        <f ca="1">SUM(G191:G197)</f>
        <v>0</v>
      </c>
      <c r="H198" s="16">
        <f ca="1">SUM(H191:H197)</f>
        <v>0</v>
      </c>
      <c r="I198" s="16">
        <f ca="1">SUM(I191:I197)</f>
        <v>0</v>
      </c>
      <c r="J198" s="15"/>
    </row>
    <row r="199" ht="13.35" customHeight="true"/>
    <row r="200" ht="12.1" customHeight="true" customFormat="true" s="5">
      <c r="A200" s="17" t="s">
        <v>232</v>
      </c>
      <c r="B200" s="17"/>
      <c r="C200" s="17"/>
      <c r="D200" s="17"/>
      <c r="E200" s="17"/>
      <c r="F200" s="17"/>
      <c r="G200" s="17"/>
      <c r="H200" s="17"/>
      <c r="I200" s="17"/>
      <c r="J200" s="17"/>
    </row>
    <row r="201" ht="10.95" customHeight="true" customFormat="true" s="8">
      <c r="A201" s="9">
        <v>45804</v>
      </c>
      <c r="B201" s="10" t="s">
        <v>36</v>
      </c>
      <c r="C201" s="10" t="s">
        <v>233</v>
      </c>
      <c r="D201" s="10" t="s">
        <v>234</v>
      </c>
      <c r="E201" s="10" t="s">
        <v>16</v>
      </c>
      <c r="F201" s="11">
        <v>0</v>
      </c>
      <c r="G201" s="11">
        <v>85.0000</v>
      </c>
      <c r="H201" s="11">
        <v>0</v>
      </c>
      <c r="I201" s="11">
        <v>85.0000</v>
      </c>
      <c r="J201" s="10" t="s">
        <v>46</v>
      </c>
    </row>
    <row r="202" ht="10.95" customHeight="true" customFormat="true" s="8">
      <c r="A202" s="15" t="s">
        <v>235</v>
      </c>
      <c r="B202" s="15"/>
      <c r="C202" s="15"/>
      <c r="D202" s="15"/>
      <c r="E202" s="15"/>
      <c r="F202" s="16">
        <f ca="1">F201</f>
        <v>0</v>
      </c>
      <c r="G202" s="16">
        <f ca="1">G201</f>
        <v>0</v>
      </c>
      <c r="H202" s="16">
        <f ca="1">H201</f>
        <v>0</v>
      </c>
      <c r="I202" s="16">
        <f ca="1">I201</f>
        <v>0</v>
      </c>
      <c r="J202" s="15"/>
    </row>
    <row r="203" ht="13.35" customHeight="true"/>
    <row r="204" ht="12.1" customHeight="true" customFormat="true" s="5">
      <c r="A204" s="17" t="s">
        <v>236</v>
      </c>
      <c r="B204" s="17"/>
      <c r="C204" s="17"/>
      <c r="D204" s="17"/>
      <c r="E204" s="17"/>
      <c r="F204" s="17"/>
      <c r="G204" s="17"/>
      <c r="H204" s="17"/>
      <c r="I204" s="17"/>
      <c r="J204" s="17"/>
    </row>
    <row r="205" ht="10.95" customHeight="true" customFormat="true" s="8">
      <c r="A205" s="9">
        <v>45785</v>
      </c>
      <c r="B205" s="10" t="s">
        <v>122</v>
      </c>
      <c r="C205" s="10" t="s">
        <v>237</v>
      </c>
      <c r="D205" s="10" t="s">
        <v>238</v>
      </c>
      <c r="E205" s="10" t="s">
        <v>16</v>
      </c>
      <c r="F205" s="11">
        <v>1638.0000</v>
      </c>
      <c r="G205" s="11">
        <v>0</v>
      </c>
      <c r="H205" s="11">
        <v>1638.0000</v>
      </c>
      <c r="I205" s="11">
        <v>0</v>
      </c>
      <c r="J205" s="10" t="s">
        <v>218</v>
      </c>
    </row>
    <row r="206" ht="10.95" customHeight="true" customFormat="true" s="8">
      <c r="A206" s="12">
        <v>45785</v>
      </c>
      <c r="B206" s="13" t="s">
        <v>122</v>
      </c>
      <c r="C206" s="13" t="s">
        <v>239</v>
      </c>
      <c r="D206" s="13" t="s">
        <v>238</v>
      </c>
      <c r="E206" s="13" t="s">
        <v>16</v>
      </c>
      <c r="F206" s="14">
        <v>702.0000</v>
      </c>
      <c r="G206" s="14">
        <v>0</v>
      </c>
      <c r="H206" s="14">
        <v>702.0000</v>
      </c>
      <c r="I206" s="14">
        <v>0</v>
      </c>
      <c r="J206" s="13" t="s">
        <v>218</v>
      </c>
    </row>
    <row r="207" ht="10.95" customHeight="true" customFormat="true" s="8">
      <c r="A207" s="15" t="s">
        <v>240</v>
      </c>
      <c r="B207" s="15"/>
      <c r="C207" s="15"/>
      <c r="D207" s="15"/>
      <c r="E207" s="15"/>
      <c r="F207" s="16">
        <f ca="1">SUM(F205:F206)</f>
        <v>0</v>
      </c>
      <c r="G207" s="16">
        <f ca="1">SUM(G205:G206)</f>
        <v>0</v>
      </c>
      <c r="H207" s="16">
        <f ca="1">SUM(H205:H206)</f>
        <v>0</v>
      </c>
      <c r="I207" s="16">
        <f ca="1">SUM(I205:I206)</f>
        <v>0</v>
      </c>
      <c r="J207" s="15"/>
    </row>
    <row r="208" ht="13.35" customHeight="true"/>
    <row r="209" ht="12.1" customHeight="true" customFormat="true" s="5">
      <c r="A209" s="17" t="s">
        <v>241</v>
      </c>
      <c r="B209" s="17"/>
      <c r="C209" s="17"/>
      <c r="D209" s="17"/>
      <c r="E209" s="17"/>
      <c r="F209" s="17"/>
      <c r="G209" s="17"/>
      <c r="H209" s="17"/>
      <c r="I209" s="17"/>
      <c r="J209" s="17"/>
    </row>
    <row r="210" ht="10.95" customHeight="true" customFormat="true" s="8">
      <c r="A210" s="9">
        <v>45378</v>
      </c>
      <c r="B210" s="10" t="s">
        <v>36</v>
      </c>
      <c r="C210" s="10" t="s">
        <v>242</v>
      </c>
      <c r="D210" s="10" t="s">
        <v>243</v>
      </c>
      <c r="E210" s="10" t="s">
        <v>16</v>
      </c>
      <c r="F210" s="11">
        <v>0</v>
      </c>
      <c r="G210" s="11">
        <v>1071.0000</v>
      </c>
      <c r="H210" s="11">
        <v>0</v>
      </c>
      <c r="I210" s="11">
        <v>1071.0000</v>
      </c>
      <c r="J210" s="10" t="s">
        <v>23</v>
      </c>
    </row>
    <row r="211" ht="10.95" customHeight="true" customFormat="true" s="8">
      <c r="A211" s="12">
        <v>45378</v>
      </c>
      <c r="B211" s="13" t="s">
        <v>36</v>
      </c>
      <c r="C211" s="13" t="s">
        <v>244</v>
      </c>
      <c r="D211" s="13" t="s">
        <v>243</v>
      </c>
      <c r="E211" s="13" t="s">
        <v>16</v>
      </c>
      <c r="F211" s="14">
        <v>0</v>
      </c>
      <c r="G211" s="14">
        <v>4614.4800</v>
      </c>
      <c r="H211" s="14">
        <v>0</v>
      </c>
      <c r="I211" s="14">
        <v>4614.4800</v>
      </c>
      <c r="J211" s="13" t="s">
        <v>23</v>
      </c>
    </row>
    <row r="212" ht="10.95" customHeight="true" customFormat="true" s="8">
      <c r="A212" s="12">
        <v>45378</v>
      </c>
      <c r="B212" s="13" t="s">
        <v>36</v>
      </c>
      <c r="C212" s="13" t="s">
        <v>245</v>
      </c>
      <c r="D212" s="13" t="s">
        <v>243</v>
      </c>
      <c r="E212" s="13" t="s">
        <v>16</v>
      </c>
      <c r="F212" s="14">
        <v>0</v>
      </c>
      <c r="G212" s="14">
        <v>525.3000</v>
      </c>
      <c r="H212" s="14">
        <v>0</v>
      </c>
      <c r="I212" s="14">
        <v>525.3000</v>
      </c>
      <c r="J212" s="13" t="s">
        <v>140</v>
      </c>
    </row>
    <row r="213" ht="10.95" customHeight="true" customFormat="true" s="8">
      <c r="A213" s="12">
        <v>45378</v>
      </c>
      <c r="B213" s="13" t="s">
        <v>36</v>
      </c>
      <c r="C213" s="13" t="s">
        <v>246</v>
      </c>
      <c r="D213" s="13" t="s">
        <v>247</v>
      </c>
      <c r="E213" s="13" t="s">
        <v>16</v>
      </c>
      <c r="F213" s="14">
        <v>0</v>
      </c>
      <c r="G213" s="14">
        <v>6156.1100</v>
      </c>
      <c r="H213" s="14">
        <v>0</v>
      </c>
      <c r="I213" s="14">
        <v>6156.1100</v>
      </c>
      <c r="J213" s="13" t="s">
        <v>125</v>
      </c>
    </row>
    <row r="214" ht="10.95" customHeight="true" customFormat="true" s="8">
      <c r="A214" s="12">
        <v>46086</v>
      </c>
      <c r="B214" s="13" t="s">
        <v>36</v>
      </c>
      <c r="C214" s="13" t="s">
        <v>248</v>
      </c>
      <c r="D214" s="13" t="s">
        <v>249</v>
      </c>
      <c r="E214" s="13" t="s">
        <v>16</v>
      </c>
      <c r="F214" s="14">
        <v>0</v>
      </c>
      <c r="G214" s="14">
        <v>2742.8500</v>
      </c>
      <c r="H214" s="14">
        <v>0</v>
      </c>
      <c r="I214" s="14">
        <v>2742.8500</v>
      </c>
      <c r="J214" s="13" t="s">
        <v>46</v>
      </c>
    </row>
    <row r="215" ht="10.95" customHeight="true" customFormat="true" s="8">
      <c r="A215" s="12">
        <v>46086</v>
      </c>
      <c r="B215" s="13" t="s">
        <v>36</v>
      </c>
      <c r="C215" s="13" t="s">
        <v>250</v>
      </c>
      <c r="D215" s="13" t="s">
        <v>249</v>
      </c>
      <c r="E215" s="13" t="s">
        <v>16</v>
      </c>
      <c r="F215" s="14">
        <v>0</v>
      </c>
      <c r="G215" s="14">
        <v>1033.7000</v>
      </c>
      <c r="H215" s="14">
        <v>0</v>
      </c>
      <c r="I215" s="14">
        <v>1033.7000</v>
      </c>
      <c r="J215" s="13" t="s">
        <v>46</v>
      </c>
    </row>
    <row r="216" ht="10.95" customHeight="true" customFormat="true" s="8">
      <c r="A216" s="12">
        <v>46086</v>
      </c>
      <c r="B216" s="13" t="s">
        <v>36</v>
      </c>
      <c r="C216" s="13" t="s">
        <v>251</v>
      </c>
      <c r="D216" s="13" t="s">
        <v>249</v>
      </c>
      <c r="E216" s="13" t="s">
        <v>16</v>
      </c>
      <c r="F216" s="14">
        <v>0</v>
      </c>
      <c r="G216" s="14">
        <v>1029.1200</v>
      </c>
      <c r="H216" s="14">
        <v>0</v>
      </c>
      <c r="I216" s="14">
        <v>1029.1200</v>
      </c>
      <c r="J216" s="13" t="s">
        <v>46</v>
      </c>
    </row>
    <row r="217" ht="10.95" customHeight="true" customFormat="true" s="8">
      <c r="A217" s="15" t="s">
        <v>252</v>
      </c>
      <c r="B217" s="15"/>
      <c r="C217" s="15"/>
      <c r="D217" s="15"/>
      <c r="E217" s="15"/>
      <c r="F217" s="16">
        <f ca="1">SUM(F210:F216)</f>
        <v>0</v>
      </c>
      <c r="G217" s="16">
        <f ca="1">SUM(G210:G216)</f>
        <v>0</v>
      </c>
      <c r="H217" s="16">
        <f ca="1">SUM(H210:H216)</f>
        <v>0</v>
      </c>
      <c r="I217" s="16">
        <f ca="1">SUM(I210:I216)</f>
        <v>0</v>
      </c>
      <c r="J217" s="15"/>
    </row>
    <row r="218" ht="13.35" customHeight="true"/>
    <row r="219" ht="12.1" customHeight="true" customFormat="true" s="5">
      <c r="A219" s="17" t="s">
        <v>253</v>
      </c>
      <c r="B219" s="17"/>
      <c r="C219" s="17"/>
      <c r="D219" s="17"/>
      <c r="E219" s="17"/>
      <c r="F219" s="17"/>
      <c r="G219" s="17"/>
      <c r="H219" s="17"/>
      <c r="I219" s="17"/>
      <c r="J219" s="17"/>
    </row>
    <row r="220" ht="10.95" customHeight="true" customFormat="true" s="8">
      <c r="A220" s="9">
        <v>46093</v>
      </c>
      <c r="B220" s="10" t="s">
        <v>36</v>
      </c>
      <c r="C220" s="10" t="s">
        <v>254</v>
      </c>
      <c r="D220" s="10" t="s">
        <v>255</v>
      </c>
      <c r="E220" s="10" t="s">
        <v>16</v>
      </c>
      <c r="F220" s="11">
        <v>0</v>
      </c>
      <c r="G220" s="11">
        <v>1827.0000</v>
      </c>
      <c r="H220" s="11">
        <v>0</v>
      </c>
      <c r="I220" s="11">
        <v>1827.0000</v>
      </c>
      <c r="J220" s="10" t="s">
        <v>46</v>
      </c>
    </row>
    <row r="221" ht="10.95" customHeight="true" customFormat="true" s="8">
      <c r="A221" s="15" t="s">
        <v>256</v>
      </c>
      <c r="B221" s="15"/>
      <c r="C221" s="15"/>
      <c r="D221" s="15"/>
      <c r="E221" s="15"/>
      <c r="F221" s="16">
        <f ca="1">F220</f>
        <v>0</v>
      </c>
      <c r="G221" s="16">
        <f ca="1">G220</f>
        <v>0</v>
      </c>
      <c r="H221" s="16">
        <f ca="1">H220</f>
        <v>0</v>
      </c>
      <c r="I221" s="16">
        <f ca="1">I220</f>
        <v>0</v>
      </c>
      <c r="J221" s="15"/>
    </row>
    <row r="222" ht="13.35" customHeight="true"/>
    <row r="223" ht="12.1" customHeight="true" customFormat="true" s="5">
      <c r="A223" s="17" t="s">
        <v>257</v>
      </c>
      <c r="B223" s="17"/>
      <c r="C223" s="17"/>
      <c r="D223" s="17"/>
      <c r="E223" s="17"/>
      <c r="F223" s="17"/>
      <c r="G223" s="17"/>
      <c r="H223" s="17"/>
      <c r="I223" s="17"/>
      <c r="J223" s="17"/>
    </row>
    <row r="224" ht="10.95" customHeight="true" customFormat="true" s="8">
      <c r="A224" s="9">
        <v>45428</v>
      </c>
      <c r="B224" s="10" t="s">
        <v>36</v>
      </c>
      <c r="C224" s="10" t="s">
        <v>258</v>
      </c>
      <c r="D224" s="10" t="s">
        <v>259</v>
      </c>
      <c r="E224" s="10" t="s">
        <v>16</v>
      </c>
      <c r="F224" s="11">
        <v>0</v>
      </c>
      <c r="G224" s="11">
        <v>6706.0000</v>
      </c>
      <c r="H224" s="11">
        <v>0</v>
      </c>
      <c r="I224" s="11">
        <v>6706.0000</v>
      </c>
      <c r="J224" s="10" t="s">
        <v>125</v>
      </c>
    </row>
    <row r="225" ht="10.95" customHeight="true" customFormat="true" s="8">
      <c r="A225" s="15" t="s">
        <v>260</v>
      </c>
      <c r="B225" s="15"/>
      <c r="C225" s="15"/>
      <c r="D225" s="15"/>
      <c r="E225" s="15"/>
      <c r="F225" s="16">
        <f ca="1">F224</f>
        <v>0</v>
      </c>
      <c r="G225" s="16">
        <f ca="1">G224</f>
        <v>0</v>
      </c>
      <c r="H225" s="16">
        <f ca="1">H224</f>
        <v>0</v>
      </c>
      <c r="I225" s="16">
        <f ca="1">I224</f>
        <v>0</v>
      </c>
      <c r="J225" s="15"/>
    </row>
    <row r="226" ht="13.35" customHeight="true"/>
    <row r="227" ht="12.1" customHeight="true" customFormat="true" s="5">
      <c r="A227" s="17" t="s">
        <v>261</v>
      </c>
      <c r="B227" s="17"/>
      <c r="C227" s="17"/>
      <c r="D227" s="17"/>
      <c r="E227" s="17"/>
      <c r="F227" s="17"/>
      <c r="G227" s="17"/>
      <c r="H227" s="17"/>
      <c r="I227" s="17"/>
      <c r="J227" s="17"/>
    </row>
    <row r="228" ht="10.95" customHeight="true" customFormat="true" s="8">
      <c r="A228" s="9">
        <v>45784</v>
      </c>
      <c r="B228" s="10" t="s">
        <v>36</v>
      </c>
      <c r="C228" s="10" t="s">
        <v>262</v>
      </c>
      <c r="D228" s="10" t="s">
        <v>263</v>
      </c>
      <c r="E228" s="10" t="s">
        <v>16</v>
      </c>
      <c r="F228" s="11">
        <v>0</v>
      </c>
      <c r="G228" s="11">
        <v>988.8000</v>
      </c>
      <c r="H228" s="11">
        <v>0</v>
      </c>
      <c r="I228" s="11">
        <v>988.8000</v>
      </c>
      <c r="J228" s="10" t="s">
        <v>46</v>
      </c>
    </row>
    <row r="229" ht="10.95" customHeight="true" customFormat="true" s="8">
      <c r="A229" s="15" t="s">
        <v>264</v>
      </c>
      <c r="B229" s="15"/>
      <c r="C229" s="15"/>
      <c r="D229" s="15"/>
      <c r="E229" s="15"/>
      <c r="F229" s="16">
        <f ca="1">F228</f>
        <v>0</v>
      </c>
      <c r="G229" s="16">
        <f ca="1">G228</f>
        <v>0</v>
      </c>
      <c r="H229" s="16">
        <f ca="1">H228</f>
        <v>0</v>
      </c>
      <c r="I229" s="16">
        <f ca="1">I228</f>
        <v>0</v>
      </c>
      <c r="J229" s="15"/>
    </row>
    <row r="230" ht="13.35" customHeight="true"/>
    <row r="231" ht="12.1" customHeight="true" customFormat="true" s="5">
      <c r="A231" s="17" t="s">
        <v>265</v>
      </c>
      <c r="B231" s="17"/>
      <c r="C231" s="17"/>
      <c r="D231" s="17"/>
      <c r="E231" s="17"/>
      <c r="F231" s="17"/>
      <c r="G231" s="17"/>
      <c r="H231" s="17"/>
      <c r="I231" s="17"/>
      <c r="J231" s="17"/>
    </row>
    <row r="232" ht="10.95" customHeight="true" customFormat="true" s="8">
      <c r="A232" s="9">
        <v>45405</v>
      </c>
      <c r="B232" s="10" t="s">
        <v>36</v>
      </c>
      <c r="C232" s="10" t="s">
        <v>266</v>
      </c>
      <c r="D232" s="10" t="s">
        <v>267</v>
      </c>
      <c r="E232" s="10" t="s">
        <v>16</v>
      </c>
      <c r="F232" s="11">
        <v>0</v>
      </c>
      <c r="G232" s="11">
        <v>375.0000</v>
      </c>
      <c r="H232" s="11">
        <v>0</v>
      </c>
      <c r="I232" s="11">
        <v>375.0000</v>
      </c>
      <c r="J232" s="10" t="s">
        <v>268</v>
      </c>
    </row>
    <row r="233" ht="10.95" customHeight="true" customFormat="true" s="8">
      <c r="A233" s="12">
        <v>45405</v>
      </c>
      <c r="B233" s="13" t="s">
        <v>36</v>
      </c>
      <c r="C233" s="13" t="s">
        <v>269</v>
      </c>
      <c r="D233" s="13" t="s">
        <v>267</v>
      </c>
      <c r="E233" s="13" t="s">
        <v>16</v>
      </c>
      <c r="F233" s="14">
        <v>0</v>
      </c>
      <c r="G233" s="14">
        <v>1950.0000</v>
      </c>
      <c r="H233" s="14">
        <v>0</v>
      </c>
      <c r="I233" s="14">
        <v>1950.0000</v>
      </c>
      <c r="J233" s="13" t="s">
        <v>268</v>
      </c>
    </row>
    <row r="234" ht="10.95" customHeight="true" customFormat="true" s="8">
      <c r="A234" s="12">
        <v>45405</v>
      </c>
      <c r="B234" s="13" t="s">
        <v>36</v>
      </c>
      <c r="C234" s="13" t="s">
        <v>266</v>
      </c>
      <c r="D234" s="13" t="s">
        <v>270</v>
      </c>
      <c r="E234" s="13" t="s">
        <v>16</v>
      </c>
      <c r="F234" s="14">
        <v>0</v>
      </c>
      <c r="G234" s="14">
        <v>150.0000</v>
      </c>
      <c r="H234" s="14">
        <v>0</v>
      </c>
      <c r="I234" s="14">
        <v>150.0000</v>
      </c>
      <c r="J234" s="13" t="s">
        <v>268</v>
      </c>
    </row>
    <row r="235" ht="10.95" customHeight="true" customFormat="true" s="8">
      <c r="A235" s="12">
        <v>45405</v>
      </c>
      <c r="B235" s="13" t="s">
        <v>36</v>
      </c>
      <c r="C235" s="13" t="s">
        <v>269</v>
      </c>
      <c r="D235" s="13" t="s">
        <v>270</v>
      </c>
      <c r="E235" s="13" t="s">
        <v>16</v>
      </c>
      <c r="F235" s="14">
        <v>0</v>
      </c>
      <c r="G235" s="14">
        <v>650.0000</v>
      </c>
      <c r="H235" s="14">
        <v>0</v>
      </c>
      <c r="I235" s="14">
        <v>650.0000</v>
      </c>
      <c r="J235" s="13" t="s">
        <v>268</v>
      </c>
    </row>
    <row r="236" ht="10.95" customHeight="true" customFormat="true" s="8">
      <c r="A236" s="12">
        <v>45411</v>
      </c>
      <c r="B236" s="13" t="s">
        <v>36</v>
      </c>
      <c r="C236" s="13" t="s">
        <v>269</v>
      </c>
      <c r="D236" s="13" t="s">
        <v>271</v>
      </c>
      <c r="E236" s="13" t="s">
        <v>16</v>
      </c>
      <c r="F236" s="14">
        <v>0</v>
      </c>
      <c r="G236" s="14">
        <v>650.0000</v>
      </c>
      <c r="H236" s="14">
        <v>0</v>
      </c>
      <c r="I236" s="14">
        <v>650.0000</v>
      </c>
      <c r="J236" s="13" t="s">
        <v>268</v>
      </c>
    </row>
    <row r="237" ht="10.95" customHeight="true" customFormat="true" s="8">
      <c r="A237" s="12">
        <v>45411</v>
      </c>
      <c r="B237" s="13" t="s">
        <v>36</v>
      </c>
      <c r="C237" s="13" t="s">
        <v>266</v>
      </c>
      <c r="D237" s="13" t="s">
        <v>271</v>
      </c>
      <c r="E237" s="13" t="s">
        <v>16</v>
      </c>
      <c r="F237" s="14">
        <v>0</v>
      </c>
      <c r="G237" s="14">
        <v>150.0000</v>
      </c>
      <c r="H237" s="14">
        <v>0</v>
      </c>
      <c r="I237" s="14">
        <v>150.0000</v>
      </c>
      <c r="J237" s="13" t="s">
        <v>268</v>
      </c>
    </row>
    <row r="238" ht="10.95" customHeight="true" customFormat="true" s="8">
      <c r="A238" s="15" t="s">
        <v>272</v>
      </c>
      <c r="B238" s="15"/>
      <c r="C238" s="15"/>
      <c r="D238" s="15"/>
      <c r="E238" s="15"/>
      <c r="F238" s="16">
        <f ca="1">SUM(F232:F237)</f>
        <v>0</v>
      </c>
      <c r="G238" s="16">
        <f ca="1">SUM(G232:G237)</f>
        <v>0</v>
      </c>
      <c r="H238" s="16">
        <f ca="1">SUM(H232:H237)</f>
        <v>0</v>
      </c>
      <c r="I238" s="16">
        <f ca="1">SUM(I232:I237)</f>
        <v>0</v>
      </c>
      <c r="J238" s="15"/>
    </row>
    <row r="239" ht="13.35" customHeight="true"/>
    <row r="240" ht="12.1" customHeight="true" customFormat="true" s="5">
      <c r="A240" s="17" t="s">
        <v>273</v>
      </c>
      <c r="B240" s="17"/>
      <c r="C240" s="17"/>
      <c r="D240" s="17"/>
      <c r="E240" s="17"/>
      <c r="F240" s="17"/>
      <c r="G240" s="17"/>
      <c r="H240" s="17"/>
      <c r="I240" s="17"/>
      <c r="J240" s="17"/>
    </row>
    <row r="241" ht="10.95" customHeight="true" customFormat="true" s="8">
      <c r="A241" s="9">
        <v>45561</v>
      </c>
      <c r="B241" s="10" t="s">
        <v>36</v>
      </c>
      <c r="C241" s="10" t="s">
        <v>274</v>
      </c>
      <c r="D241" s="10" t="s">
        <v>275</v>
      </c>
      <c r="E241" s="10" t="s">
        <v>16</v>
      </c>
      <c r="F241" s="11">
        <v>0</v>
      </c>
      <c r="G241" s="11">
        <v>200.0000</v>
      </c>
      <c r="H241" s="11">
        <v>0</v>
      </c>
      <c r="I241" s="11">
        <v>200.0000</v>
      </c>
      <c r="J241" s="10" t="s">
        <v>46</v>
      </c>
    </row>
    <row r="242" ht="10.95" customHeight="true" customFormat="true" s="8">
      <c r="A242" s="12">
        <v>45642</v>
      </c>
      <c r="B242" s="13" t="s">
        <v>36</v>
      </c>
      <c r="C242" s="13" t="s">
        <v>276</v>
      </c>
      <c r="D242" s="13" t="s">
        <v>277</v>
      </c>
      <c r="E242" s="13" t="s">
        <v>16</v>
      </c>
      <c r="F242" s="14">
        <v>0</v>
      </c>
      <c r="G242" s="14">
        <v>390.0000</v>
      </c>
      <c r="H242" s="14">
        <v>0</v>
      </c>
      <c r="I242" s="14">
        <v>390.0000</v>
      </c>
      <c r="J242" s="13" t="s">
        <v>46</v>
      </c>
    </row>
    <row r="243" ht="10.95" customHeight="true" customFormat="true" s="8">
      <c r="A243" s="12">
        <v>45642</v>
      </c>
      <c r="B243" s="13" t="s">
        <v>36</v>
      </c>
      <c r="C243" s="13" t="s">
        <v>278</v>
      </c>
      <c r="D243" s="13" t="s">
        <v>277</v>
      </c>
      <c r="E243" s="13" t="s">
        <v>16</v>
      </c>
      <c r="F243" s="14">
        <v>0</v>
      </c>
      <c r="G243" s="14">
        <v>780.0000</v>
      </c>
      <c r="H243" s="14">
        <v>0</v>
      </c>
      <c r="I243" s="14">
        <v>780.0000</v>
      </c>
      <c r="J243" s="13" t="s">
        <v>46</v>
      </c>
    </row>
    <row r="244" ht="10.95" customHeight="true" customFormat="true" s="8">
      <c r="A244" s="15" t="s">
        <v>279</v>
      </c>
      <c r="B244" s="15"/>
      <c r="C244" s="15"/>
      <c r="D244" s="15"/>
      <c r="E244" s="15"/>
      <c r="F244" s="16">
        <f ca="1">SUM(F241:F243)</f>
        <v>0</v>
      </c>
      <c r="G244" s="16">
        <f ca="1">SUM(G241:G243)</f>
        <v>0</v>
      </c>
      <c r="H244" s="16">
        <f ca="1">SUM(H241:H243)</f>
        <v>0</v>
      </c>
      <c r="I244" s="16">
        <f ca="1">SUM(I241:I243)</f>
        <v>0</v>
      </c>
      <c r="J244" s="15"/>
    </row>
    <row r="245" ht="13.35" customHeight="true"/>
    <row r="246" ht="12.1" customHeight="true" customFormat="true" s="5">
      <c r="A246" s="17" t="s">
        <v>280</v>
      </c>
      <c r="B246" s="17"/>
      <c r="C246" s="17"/>
      <c r="D246" s="17"/>
      <c r="E246" s="17"/>
      <c r="F246" s="17"/>
      <c r="G246" s="17"/>
      <c r="H246" s="17"/>
      <c r="I246" s="17"/>
      <c r="J246" s="17"/>
    </row>
    <row r="247" ht="10.95" customHeight="true" customFormat="true" s="8">
      <c r="A247" s="9">
        <v>45811</v>
      </c>
      <c r="B247" s="10" t="s">
        <v>36</v>
      </c>
      <c r="C247" s="10" t="s">
        <v>281</v>
      </c>
      <c r="D247" s="10" t="s">
        <v>282</v>
      </c>
      <c r="E247" s="10" t="s">
        <v>16</v>
      </c>
      <c r="F247" s="11">
        <v>0</v>
      </c>
      <c r="G247" s="11">
        <v>5362.5000</v>
      </c>
      <c r="H247" s="11">
        <v>0</v>
      </c>
      <c r="I247" s="11">
        <v>5362.5000</v>
      </c>
      <c r="J247" s="10" t="s">
        <v>17</v>
      </c>
    </row>
    <row r="248" ht="10.95" customHeight="true" customFormat="true" s="8">
      <c r="A248" s="12">
        <v>45811</v>
      </c>
      <c r="B248" s="13" t="s">
        <v>36</v>
      </c>
      <c r="C248" s="13" t="s">
        <v>283</v>
      </c>
      <c r="D248" s="13" t="s">
        <v>282</v>
      </c>
      <c r="E248" s="13" t="s">
        <v>16</v>
      </c>
      <c r="F248" s="14">
        <v>0</v>
      </c>
      <c r="G248" s="14">
        <v>12675.0000</v>
      </c>
      <c r="H248" s="14">
        <v>0</v>
      </c>
      <c r="I248" s="14">
        <v>12675.0000</v>
      </c>
      <c r="J248" s="13" t="s">
        <v>17</v>
      </c>
    </row>
    <row r="249" ht="10.95" customHeight="true" customFormat="true" s="8">
      <c r="A249" s="15" t="s">
        <v>284</v>
      </c>
      <c r="B249" s="15"/>
      <c r="C249" s="15"/>
      <c r="D249" s="15"/>
      <c r="E249" s="15"/>
      <c r="F249" s="16">
        <f ca="1">SUM(F247:F248)</f>
        <v>0</v>
      </c>
      <c r="G249" s="16">
        <f ca="1">SUM(G247:G248)</f>
        <v>0</v>
      </c>
      <c r="H249" s="16">
        <f ca="1">SUM(H247:H248)</f>
        <v>0</v>
      </c>
      <c r="I249" s="16">
        <f ca="1">SUM(I247:I248)</f>
        <v>0</v>
      </c>
      <c r="J249" s="15"/>
    </row>
    <row r="250" ht="13.35" customHeight="true"/>
    <row r="251" ht="12.1" customHeight="true" customFormat="true" s="5">
      <c r="A251" s="17" t="s">
        <v>285</v>
      </c>
      <c r="B251" s="17"/>
      <c r="C251" s="17"/>
      <c r="D251" s="17"/>
      <c r="E251" s="17"/>
      <c r="F251" s="17"/>
      <c r="G251" s="17"/>
      <c r="H251" s="17"/>
      <c r="I251" s="17"/>
      <c r="J251" s="17"/>
    </row>
    <row r="252" ht="10.95" customHeight="true" customFormat="true" s="8">
      <c r="A252" s="9">
        <v>45463</v>
      </c>
      <c r="B252" s="10" t="s">
        <v>36</v>
      </c>
      <c r="C252" s="10" t="s">
        <v>286</v>
      </c>
      <c r="D252" s="10" t="s">
        <v>287</v>
      </c>
      <c r="E252" s="10" t="s">
        <v>16</v>
      </c>
      <c r="F252" s="11">
        <v>0</v>
      </c>
      <c r="G252" s="11">
        <v>8296.8000</v>
      </c>
      <c r="H252" s="11">
        <v>0</v>
      </c>
      <c r="I252" s="11">
        <v>8296.8000</v>
      </c>
      <c r="J252" s="10" t="s">
        <v>177</v>
      </c>
    </row>
    <row r="253" ht="10.95" customHeight="true" customFormat="true" s="8">
      <c r="A253" s="12">
        <v>45463</v>
      </c>
      <c r="B253" s="13" t="s">
        <v>36</v>
      </c>
      <c r="C253" s="13" t="s">
        <v>288</v>
      </c>
      <c r="D253" s="13" t="s">
        <v>287</v>
      </c>
      <c r="E253" s="13" t="s">
        <v>16</v>
      </c>
      <c r="F253" s="14">
        <v>0</v>
      </c>
      <c r="G253" s="14">
        <v>14968.6000</v>
      </c>
      <c r="H253" s="14">
        <v>0</v>
      </c>
      <c r="I253" s="14">
        <v>14968.6000</v>
      </c>
      <c r="J253" s="13" t="s">
        <v>23</v>
      </c>
    </row>
    <row r="254" ht="10.95" customHeight="true" customFormat="true" s="8">
      <c r="A254" s="12">
        <v>45463</v>
      </c>
      <c r="B254" s="13" t="s">
        <v>36</v>
      </c>
      <c r="C254" s="13" t="s">
        <v>289</v>
      </c>
      <c r="D254" s="13" t="s">
        <v>287</v>
      </c>
      <c r="E254" s="13" t="s">
        <v>16</v>
      </c>
      <c r="F254" s="14">
        <v>0</v>
      </c>
      <c r="G254" s="14">
        <v>8085.0000</v>
      </c>
      <c r="H254" s="14">
        <v>0</v>
      </c>
      <c r="I254" s="14">
        <v>8085.0000</v>
      </c>
      <c r="J254" s="13" t="s">
        <v>23</v>
      </c>
    </row>
    <row r="255" ht="10.95" customHeight="true" customFormat="true" s="8">
      <c r="A255" s="12">
        <v>45463</v>
      </c>
      <c r="B255" s="13" t="s">
        <v>36</v>
      </c>
      <c r="C255" s="13" t="s">
        <v>290</v>
      </c>
      <c r="D255" s="13" t="s">
        <v>287</v>
      </c>
      <c r="E255" s="13" t="s">
        <v>16</v>
      </c>
      <c r="F255" s="14">
        <v>0</v>
      </c>
      <c r="G255" s="14">
        <v>5397.9200</v>
      </c>
      <c r="H255" s="14">
        <v>0</v>
      </c>
      <c r="I255" s="14">
        <v>5397.9200</v>
      </c>
      <c r="J255" s="13" t="s">
        <v>138</v>
      </c>
    </row>
    <row r="256" ht="10.95" customHeight="true" customFormat="true" s="8">
      <c r="A256" s="12">
        <v>45463</v>
      </c>
      <c r="B256" s="13" t="s">
        <v>36</v>
      </c>
      <c r="C256" s="13" t="s">
        <v>291</v>
      </c>
      <c r="D256" s="13" t="s">
        <v>287</v>
      </c>
      <c r="E256" s="13" t="s">
        <v>16</v>
      </c>
      <c r="F256" s="14">
        <v>0</v>
      </c>
      <c r="G256" s="14">
        <v>1500.0000</v>
      </c>
      <c r="H256" s="14">
        <v>0</v>
      </c>
      <c r="I256" s="14">
        <v>1500.0000</v>
      </c>
      <c r="J256" s="13" t="s">
        <v>268</v>
      </c>
    </row>
    <row r="257" ht="10.95" customHeight="true" customFormat="true" s="8">
      <c r="A257" s="12">
        <v>45511</v>
      </c>
      <c r="B257" s="13" t="s">
        <v>36</v>
      </c>
      <c r="C257" s="13" t="s">
        <v>292</v>
      </c>
      <c r="D257" s="13" t="s">
        <v>293</v>
      </c>
      <c r="E257" s="13" t="s">
        <v>16</v>
      </c>
      <c r="F257" s="14">
        <v>0</v>
      </c>
      <c r="G257" s="14">
        <v>15771.9500</v>
      </c>
      <c r="H257" s="14">
        <v>0</v>
      </c>
      <c r="I257" s="14">
        <v>15771.9500</v>
      </c>
      <c r="J257" s="13" t="s">
        <v>23</v>
      </c>
    </row>
    <row r="258" ht="10.95" customHeight="true" customFormat="true" s="8">
      <c r="A258" s="12">
        <v>45511</v>
      </c>
      <c r="B258" s="13" t="s">
        <v>36</v>
      </c>
      <c r="C258" s="13" t="s">
        <v>294</v>
      </c>
      <c r="D258" s="13" t="s">
        <v>293</v>
      </c>
      <c r="E258" s="13" t="s">
        <v>16</v>
      </c>
      <c r="F258" s="14">
        <v>0</v>
      </c>
      <c r="G258" s="14">
        <v>750.0000</v>
      </c>
      <c r="H258" s="14">
        <v>0</v>
      </c>
      <c r="I258" s="14">
        <v>750.0000</v>
      </c>
      <c r="J258" s="13" t="s">
        <v>177</v>
      </c>
    </row>
    <row r="259" ht="10.95" customHeight="true" customFormat="true" s="8">
      <c r="A259" s="12">
        <v>45511</v>
      </c>
      <c r="B259" s="13" t="s">
        <v>36</v>
      </c>
      <c r="C259" s="13" t="s">
        <v>295</v>
      </c>
      <c r="D259" s="13" t="s">
        <v>293</v>
      </c>
      <c r="E259" s="13" t="s">
        <v>16</v>
      </c>
      <c r="F259" s="14">
        <v>0</v>
      </c>
      <c r="G259" s="14">
        <v>1650.0000</v>
      </c>
      <c r="H259" s="14">
        <v>0</v>
      </c>
      <c r="I259" s="14">
        <v>1650.0000</v>
      </c>
      <c r="J259" s="13" t="s">
        <v>23</v>
      </c>
    </row>
    <row r="260" ht="10.95" customHeight="true" customFormat="true" s="8">
      <c r="A260" s="12">
        <v>45511</v>
      </c>
      <c r="B260" s="13" t="s">
        <v>36</v>
      </c>
      <c r="C260" s="13" t="s">
        <v>296</v>
      </c>
      <c r="D260" s="13" t="s">
        <v>293</v>
      </c>
      <c r="E260" s="13" t="s">
        <v>16</v>
      </c>
      <c r="F260" s="14">
        <v>0</v>
      </c>
      <c r="G260" s="14">
        <v>1849.9800</v>
      </c>
      <c r="H260" s="14">
        <v>0</v>
      </c>
      <c r="I260" s="14">
        <v>1849.9800</v>
      </c>
      <c r="J260" s="13" t="s">
        <v>138</v>
      </c>
    </row>
    <row r="261" ht="10.95" customHeight="true" customFormat="true" s="8">
      <c r="A261" s="12">
        <v>45511</v>
      </c>
      <c r="B261" s="13" t="s">
        <v>36</v>
      </c>
      <c r="C261" s="13" t="s">
        <v>297</v>
      </c>
      <c r="D261" s="13" t="s">
        <v>293</v>
      </c>
      <c r="E261" s="13" t="s">
        <v>16</v>
      </c>
      <c r="F261" s="14">
        <v>0</v>
      </c>
      <c r="G261" s="14">
        <v>1450.0200</v>
      </c>
      <c r="H261" s="14">
        <v>0</v>
      </c>
      <c r="I261" s="14">
        <v>1450.0200</v>
      </c>
      <c r="J261" s="13" t="s">
        <v>138</v>
      </c>
    </row>
    <row r="262" ht="10.95" customHeight="true" customFormat="true" s="8">
      <c r="A262" s="15" t="s">
        <v>298</v>
      </c>
      <c r="B262" s="15"/>
      <c r="C262" s="15"/>
      <c r="D262" s="15"/>
      <c r="E262" s="15"/>
      <c r="F262" s="16">
        <f ca="1">SUM(F252:F261)</f>
        <v>0</v>
      </c>
      <c r="G262" s="16">
        <f ca="1">SUM(G252:G261)</f>
        <v>0</v>
      </c>
      <c r="H262" s="16">
        <f ca="1">SUM(H252:H261)</f>
        <v>0</v>
      </c>
      <c r="I262" s="16">
        <f ca="1">SUM(I252:I261)</f>
        <v>0</v>
      </c>
      <c r="J262" s="15"/>
    </row>
    <row r="263" ht="13.35" customHeight="true"/>
    <row r="264" ht="12.1" customHeight="true" customFormat="true" s="5">
      <c r="A264" s="17" t="s">
        <v>299</v>
      </c>
      <c r="B264" s="17"/>
      <c r="C264" s="17"/>
      <c r="D264" s="17"/>
      <c r="E264" s="17"/>
      <c r="F264" s="17"/>
      <c r="G264" s="17"/>
      <c r="H264" s="17"/>
      <c r="I264" s="17"/>
      <c r="J264" s="17"/>
    </row>
    <row r="265" ht="10.95" customHeight="true" customFormat="true" s="8">
      <c r="A265" s="9">
        <v>45754</v>
      </c>
      <c r="B265" s="10" t="s">
        <v>36</v>
      </c>
      <c r="C265" s="10" t="s">
        <v>300</v>
      </c>
      <c r="D265" s="10" t="s">
        <v>301</v>
      </c>
      <c r="E265" s="10" t="s">
        <v>16</v>
      </c>
      <c r="F265" s="11">
        <v>0</v>
      </c>
      <c r="G265" s="11">
        <v>525.3000</v>
      </c>
      <c r="H265" s="11">
        <v>0</v>
      </c>
      <c r="I265" s="11">
        <v>525.3000</v>
      </c>
      <c r="J265" s="10" t="s">
        <v>46</v>
      </c>
    </row>
    <row r="266" ht="10.95" customHeight="true" customFormat="true" s="8">
      <c r="A266" s="15" t="s">
        <v>302</v>
      </c>
      <c r="B266" s="15"/>
      <c r="C266" s="15"/>
      <c r="D266" s="15"/>
      <c r="E266" s="15"/>
      <c r="F266" s="16">
        <f ca="1">F265</f>
        <v>0</v>
      </c>
      <c r="G266" s="16">
        <f ca="1">G265</f>
        <v>0</v>
      </c>
      <c r="H266" s="16">
        <f ca="1">H265</f>
        <v>0</v>
      </c>
      <c r="I266" s="16">
        <f ca="1">I265</f>
        <v>0</v>
      </c>
      <c r="J266" s="15"/>
    </row>
    <row r="267" ht="13.35" customHeight="true"/>
    <row r="268" ht="12.1" customHeight="true" customFormat="true" s="5">
      <c r="A268" s="17" t="s">
        <v>303</v>
      </c>
      <c r="B268" s="17"/>
      <c r="C268" s="17"/>
      <c r="D268" s="17"/>
      <c r="E268" s="17"/>
      <c r="F268" s="17"/>
      <c r="G268" s="17"/>
      <c r="H268" s="17"/>
      <c r="I268" s="17"/>
      <c r="J268" s="17"/>
    </row>
    <row r="269" ht="10.95" customHeight="true" customFormat="true" s="8">
      <c r="A269" s="9">
        <v>45411</v>
      </c>
      <c r="B269" s="10" t="s">
        <v>36</v>
      </c>
      <c r="C269" s="10" t="s">
        <v>304</v>
      </c>
      <c r="D269" s="10" t="s">
        <v>305</v>
      </c>
      <c r="E269" s="10" t="s">
        <v>16</v>
      </c>
      <c r="F269" s="11">
        <v>0</v>
      </c>
      <c r="G269" s="11">
        <v>22750.0000</v>
      </c>
      <c r="H269" s="11">
        <v>0</v>
      </c>
      <c r="I269" s="11">
        <v>22750.0000</v>
      </c>
      <c r="J269" s="10" t="s">
        <v>17</v>
      </c>
    </row>
    <row r="270" ht="10.95" customHeight="true" customFormat="true" s="8">
      <c r="A270" s="12">
        <v>45504</v>
      </c>
      <c r="B270" s="13" t="s">
        <v>36</v>
      </c>
      <c r="C270" s="13" t="s">
        <v>306</v>
      </c>
      <c r="D270" s="13" t="s">
        <v>307</v>
      </c>
      <c r="E270" s="13" t="s">
        <v>16</v>
      </c>
      <c r="F270" s="14">
        <v>0</v>
      </c>
      <c r="G270" s="14">
        <v>360.0000</v>
      </c>
      <c r="H270" s="14">
        <v>0</v>
      </c>
      <c r="I270" s="14">
        <v>360.0000</v>
      </c>
      <c r="J270" s="13" t="s">
        <v>46</v>
      </c>
    </row>
    <row r="271" ht="10.95" customHeight="true" customFormat="true" s="8">
      <c r="A271" s="12">
        <v>45551</v>
      </c>
      <c r="B271" s="13" t="s">
        <v>36</v>
      </c>
      <c r="C271" s="13" t="s">
        <v>308</v>
      </c>
      <c r="D271" s="13" t="s">
        <v>309</v>
      </c>
      <c r="E271" s="13" t="s">
        <v>16</v>
      </c>
      <c r="F271" s="14">
        <v>0</v>
      </c>
      <c r="G271" s="14">
        <v>2331.0000</v>
      </c>
      <c r="H271" s="14">
        <v>0</v>
      </c>
      <c r="I271" s="14">
        <v>2331.0000</v>
      </c>
      <c r="J271" s="13" t="s">
        <v>20</v>
      </c>
    </row>
    <row r="272" ht="10.95" customHeight="true" customFormat="true" s="8">
      <c r="A272" s="12">
        <v>45551</v>
      </c>
      <c r="B272" s="13" t="s">
        <v>36</v>
      </c>
      <c r="C272" s="13" t="s">
        <v>310</v>
      </c>
      <c r="D272" s="13" t="s">
        <v>309</v>
      </c>
      <c r="E272" s="13" t="s">
        <v>16</v>
      </c>
      <c r="F272" s="14">
        <v>0</v>
      </c>
      <c r="G272" s="14">
        <v>2118.6000</v>
      </c>
      <c r="H272" s="14">
        <v>0</v>
      </c>
      <c r="I272" s="14">
        <v>2118.6000</v>
      </c>
      <c r="J272" s="13" t="s">
        <v>18</v>
      </c>
    </row>
    <row r="273" ht="10.95" customHeight="true" customFormat="true" s="8">
      <c r="A273" s="12">
        <v>45551</v>
      </c>
      <c r="B273" s="13" t="s">
        <v>36</v>
      </c>
      <c r="C273" s="13" t="s">
        <v>311</v>
      </c>
      <c r="D273" s="13" t="s">
        <v>309</v>
      </c>
      <c r="E273" s="13" t="s">
        <v>16</v>
      </c>
      <c r="F273" s="14">
        <v>0</v>
      </c>
      <c r="G273" s="14">
        <v>1560.0000</v>
      </c>
      <c r="H273" s="14">
        <v>0</v>
      </c>
      <c r="I273" s="14">
        <v>1560.0000</v>
      </c>
      <c r="J273" s="13" t="s">
        <v>218</v>
      </c>
    </row>
    <row r="274" ht="10.95" customHeight="true" customFormat="true" s="8">
      <c r="A274" s="12">
        <v>45604</v>
      </c>
      <c r="B274" s="13" t="s">
        <v>36</v>
      </c>
      <c r="C274" s="13" t="s">
        <v>312</v>
      </c>
      <c r="D274" s="13" t="s">
        <v>313</v>
      </c>
      <c r="E274" s="13" t="s">
        <v>16</v>
      </c>
      <c r="F274" s="14">
        <v>0</v>
      </c>
      <c r="G274" s="14">
        <v>667.2200</v>
      </c>
      <c r="H274" s="14">
        <v>0</v>
      </c>
      <c r="I274" s="14">
        <v>667.2200</v>
      </c>
      <c r="J274" s="13" t="s">
        <v>46</v>
      </c>
    </row>
    <row r="275" ht="10.95" customHeight="true" customFormat="true" s="8">
      <c r="A275" s="12">
        <v>45686</v>
      </c>
      <c r="B275" s="13" t="s">
        <v>36</v>
      </c>
      <c r="C275" s="13" t="s">
        <v>311</v>
      </c>
      <c r="D275" s="13" t="s">
        <v>314</v>
      </c>
      <c r="E275" s="13" t="s">
        <v>16</v>
      </c>
      <c r="F275" s="14">
        <v>0</v>
      </c>
      <c r="G275" s="14">
        <v>390.0000</v>
      </c>
      <c r="H275" s="14">
        <v>0</v>
      </c>
      <c r="I275" s="14">
        <v>390.0000</v>
      </c>
      <c r="J275" s="13" t="s">
        <v>218</v>
      </c>
    </row>
    <row r="276" ht="10.95" customHeight="true" customFormat="true" s="8">
      <c r="A276" s="12">
        <v>45686</v>
      </c>
      <c r="B276" s="13" t="s">
        <v>36</v>
      </c>
      <c r="C276" s="13" t="s">
        <v>315</v>
      </c>
      <c r="D276" s="13" t="s">
        <v>314</v>
      </c>
      <c r="E276" s="13" t="s">
        <v>16</v>
      </c>
      <c r="F276" s="14">
        <v>0</v>
      </c>
      <c r="G276" s="14">
        <v>1950.0000</v>
      </c>
      <c r="H276" s="14">
        <v>0</v>
      </c>
      <c r="I276" s="14">
        <v>1950.0000</v>
      </c>
      <c r="J276" s="13" t="s">
        <v>218</v>
      </c>
    </row>
    <row r="277" ht="10.95" customHeight="true" customFormat="true" s="8">
      <c r="A277" s="12">
        <v>45686</v>
      </c>
      <c r="B277" s="13" t="s">
        <v>36</v>
      </c>
      <c r="C277" s="13" t="s">
        <v>316</v>
      </c>
      <c r="D277" s="13" t="s">
        <v>314</v>
      </c>
      <c r="E277" s="13" t="s">
        <v>16</v>
      </c>
      <c r="F277" s="14">
        <v>0</v>
      </c>
      <c r="G277" s="14">
        <v>2046.0000</v>
      </c>
      <c r="H277" s="14">
        <v>0</v>
      </c>
      <c r="I277" s="14">
        <v>2046.0000</v>
      </c>
      <c r="J277" s="13" t="s">
        <v>317</v>
      </c>
    </row>
    <row r="278" ht="10.95" customHeight="true" customFormat="true" s="8">
      <c r="A278" s="12">
        <v>45686</v>
      </c>
      <c r="B278" s="13" t="s">
        <v>36</v>
      </c>
      <c r="C278" s="13" t="s">
        <v>318</v>
      </c>
      <c r="D278" s="13" t="s">
        <v>314</v>
      </c>
      <c r="E278" s="13" t="s">
        <v>16</v>
      </c>
      <c r="F278" s="14">
        <v>0</v>
      </c>
      <c r="G278" s="14">
        <v>730.8000</v>
      </c>
      <c r="H278" s="14">
        <v>0</v>
      </c>
      <c r="I278" s="14">
        <v>730.8000</v>
      </c>
      <c r="J278" s="13" t="s">
        <v>317</v>
      </c>
    </row>
    <row r="279" ht="10.95" customHeight="true" customFormat="true" s="8">
      <c r="A279" s="12">
        <v>45686</v>
      </c>
      <c r="B279" s="13" t="s">
        <v>36</v>
      </c>
      <c r="C279" s="13" t="s">
        <v>319</v>
      </c>
      <c r="D279" s="13" t="s">
        <v>314</v>
      </c>
      <c r="E279" s="13" t="s">
        <v>16</v>
      </c>
      <c r="F279" s="14">
        <v>0</v>
      </c>
      <c r="G279" s="14">
        <v>3884.4000</v>
      </c>
      <c r="H279" s="14">
        <v>0</v>
      </c>
      <c r="I279" s="14">
        <v>3884.4000</v>
      </c>
      <c r="J279" s="13" t="s">
        <v>18</v>
      </c>
    </row>
    <row r="280" ht="10.95" customHeight="true" customFormat="true" s="8">
      <c r="A280" s="12">
        <v>45709</v>
      </c>
      <c r="B280" s="13" t="s">
        <v>36</v>
      </c>
      <c r="C280" s="13" t="s">
        <v>320</v>
      </c>
      <c r="D280" s="13" t="s">
        <v>321</v>
      </c>
      <c r="E280" s="13" t="s">
        <v>16</v>
      </c>
      <c r="F280" s="14">
        <v>0</v>
      </c>
      <c r="G280" s="14">
        <v>353.4000</v>
      </c>
      <c r="H280" s="14">
        <v>0</v>
      </c>
      <c r="I280" s="14">
        <v>353.4000</v>
      </c>
      <c r="J280" s="13" t="s">
        <v>46</v>
      </c>
    </row>
    <row r="281" ht="10.95" customHeight="true" customFormat="true" s="8">
      <c r="A281" s="12">
        <v>45709</v>
      </c>
      <c r="B281" s="13" t="s">
        <v>36</v>
      </c>
      <c r="C281" s="13" t="s">
        <v>322</v>
      </c>
      <c r="D281" s="13" t="s">
        <v>321</v>
      </c>
      <c r="E281" s="13" t="s">
        <v>16</v>
      </c>
      <c r="F281" s="14">
        <v>0</v>
      </c>
      <c r="G281" s="14">
        <v>424.2000</v>
      </c>
      <c r="H281" s="14">
        <v>0</v>
      </c>
      <c r="I281" s="14">
        <v>424.2000</v>
      </c>
      <c r="J281" s="13" t="s">
        <v>46</v>
      </c>
    </row>
    <row r="282" ht="10.95" customHeight="true" customFormat="true" s="8">
      <c r="A282" s="12">
        <v>45762</v>
      </c>
      <c r="B282" s="13" t="s">
        <v>36</v>
      </c>
      <c r="C282" s="13" t="s">
        <v>323</v>
      </c>
      <c r="D282" s="13" t="s">
        <v>324</v>
      </c>
      <c r="E282" s="13" t="s">
        <v>16</v>
      </c>
      <c r="F282" s="14">
        <v>0</v>
      </c>
      <c r="G282" s="14">
        <v>12747.6000</v>
      </c>
      <c r="H282" s="14">
        <v>0</v>
      </c>
      <c r="I282" s="14">
        <v>12747.6000</v>
      </c>
      <c r="J282" s="13" t="s">
        <v>20</v>
      </c>
    </row>
    <row r="283" ht="10.95" customHeight="true" customFormat="true" s="8">
      <c r="A283" s="12">
        <v>45762</v>
      </c>
      <c r="B283" s="13" t="s">
        <v>36</v>
      </c>
      <c r="C283" s="13" t="s">
        <v>325</v>
      </c>
      <c r="D283" s="13" t="s">
        <v>324</v>
      </c>
      <c r="E283" s="13" t="s">
        <v>16</v>
      </c>
      <c r="F283" s="14">
        <v>0</v>
      </c>
      <c r="G283" s="14">
        <v>1765.8000</v>
      </c>
      <c r="H283" s="14">
        <v>0</v>
      </c>
      <c r="I283" s="14">
        <v>1765.8000</v>
      </c>
      <c r="J283" s="13" t="s">
        <v>18</v>
      </c>
    </row>
    <row r="284" ht="10.95" customHeight="true" customFormat="true" s="8">
      <c r="A284" s="12">
        <v>45790</v>
      </c>
      <c r="B284" s="13" t="s">
        <v>36</v>
      </c>
      <c r="C284" s="13" t="s">
        <v>326</v>
      </c>
      <c r="D284" s="13" t="s">
        <v>327</v>
      </c>
      <c r="E284" s="13" t="s">
        <v>16</v>
      </c>
      <c r="F284" s="14">
        <v>0</v>
      </c>
      <c r="G284" s="14">
        <v>120.0000</v>
      </c>
      <c r="H284" s="14">
        <v>0</v>
      </c>
      <c r="I284" s="14">
        <v>120.0000</v>
      </c>
      <c r="J284" s="13" t="s">
        <v>46</v>
      </c>
    </row>
    <row r="285" ht="10.95" customHeight="true" customFormat="true" s="8">
      <c r="A285" s="12">
        <v>45805</v>
      </c>
      <c r="B285" s="13" t="s">
        <v>36</v>
      </c>
      <c r="C285" s="13" t="s">
        <v>328</v>
      </c>
      <c r="D285" s="13" t="s">
        <v>329</v>
      </c>
      <c r="E285" s="13" t="s">
        <v>16</v>
      </c>
      <c r="F285" s="14">
        <v>0</v>
      </c>
      <c r="G285" s="14">
        <v>7261.3600</v>
      </c>
      <c r="H285" s="14">
        <v>0</v>
      </c>
      <c r="I285" s="14">
        <v>7261.3600</v>
      </c>
      <c r="J285" s="13" t="s">
        <v>17</v>
      </c>
    </row>
    <row r="286" ht="10.95" customHeight="true" customFormat="true" s="8">
      <c r="A286" s="12">
        <v>45805</v>
      </c>
      <c r="B286" s="13" t="s">
        <v>36</v>
      </c>
      <c r="C286" s="13" t="s">
        <v>330</v>
      </c>
      <c r="D286" s="13" t="s">
        <v>329</v>
      </c>
      <c r="E286" s="13" t="s">
        <v>16</v>
      </c>
      <c r="F286" s="14">
        <v>0</v>
      </c>
      <c r="G286" s="14">
        <v>745.1200</v>
      </c>
      <c r="H286" s="14">
        <v>0</v>
      </c>
      <c r="I286" s="14">
        <v>745.1200</v>
      </c>
      <c r="J286" s="13" t="s">
        <v>17</v>
      </c>
    </row>
    <row r="287" ht="10.95" customHeight="true" customFormat="true" s="8">
      <c r="A287" s="12">
        <v>45805</v>
      </c>
      <c r="B287" s="13" t="s">
        <v>36</v>
      </c>
      <c r="C287" s="13" t="s">
        <v>331</v>
      </c>
      <c r="D287" s="13" t="s">
        <v>329</v>
      </c>
      <c r="E287" s="13" t="s">
        <v>16</v>
      </c>
      <c r="F287" s="14">
        <v>0</v>
      </c>
      <c r="G287" s="14">
        <v>4800.0000</v>
      </c>
      <c r="H287" s="14">
        <v>0</v>
      </c>
      <c r="I287" s="14">
        <v>4800.0000</v>
      </c>
      <c r="J287" s="13" t="s">
        <v>19</v>
      </c>
    </row>
    <row r="288" ht="10.95" customHeight="true" customFormat="true" s="8">
      <c r="A288" s="12">
        <v>45833</v>
      </c>
      <c r="B288" s="13" t="s">
        <v>72</v>
      </c>
      <c r="C288" s="13" t="s">
        <v>332</v>
      </c>
      <c r="D288" s="13" t="s">
        <v>329</v>
      </c>
      <c r="E288" s="13" t="s">
        <v>16</v>
      </c>
      <c r="F288" s="14">
        <v>3200.0000</v>
      </c>
      <c r="G288" s="14">
        <v>0</v>
      </c>
      <c r="H288" s="14">
        <v>3200.0000</v>
      </c>
      <c r="I288" s="14">
        <v>0</v>
      </c>
      <c r="J288" s="13" t="s">
        <v>46</v>
      </c>
    </row>
    <row r="289" ht="10.95" customHeight="true" customFormat="true" s="8">
      <c r="A289" s="12">
        <v>45833</v>
      </c>
      <c r="B289" s="13" t="s">
        <v>36</v>
      </c>
      <c r="C289" s="13" t="s">
        <v>333</v>
      </c>
      <c r="D289" s="13" t="s">
        <v>334</v>
      </c>
      <c r="E289" s="13" t="s">
        <v>16</v>
      </c>
      <c r="F289" s="14">
        <v>0</v>
      </c>
      <c r="G289" s="14">
        <v>26674.7000</v>
      </c>
      <c r="H289" s="14">
        <v>0</v>
      </c>
      <c r="I289" s="14">
        <v>26674.7000</v>
      </c>
      <c r="J289" s="13" t="s">
        <v>17</v>
      </c>
    </row>
    <row r="290" ht="10.95" customHeight="true" customFormat="true" s="8">
      <c r="A290" s="12">
        <v>45833</v>
      </c>
      <c r="B290" s="13" t="s">
        <v>36</v>
      </c>
      <c r="C290" s="13" t="s">
        <v>335</v>
      </c>
      <c r="D290" s="13" t="s">
        <v>334</v>
      </c>
      <c r="E290" s="13" t="s">
        <v>16</v>
      </c>
      <c r="F290" s="14">
        <v>0</v>
      </c>
      <c r="G290" s="14">
        <v>4062.5000</v>
      </c>
      <c r="H290" s="14">
        <v>0</v>
      </c>
      <c r="I290" s="14">
        <v>4062.5000</v>
      </c>
      <c r="J290" s="13" t="s">
        <v>17</v>
      </c>
    </row>
    <row r="291" ht="10.95" customHeight="true" customFormat="true" s="8">
      <c r="A291" s="12">
        <v>45929</v>
      </c>
      <c r="B291" s="13" t="s">
        <v>36</v>
      </c>
      <c r="C291" s="13" t="s">
        <v>336</v>
      </c>
      <c r="D291" s="13" t="s">
        <v>337</v>
      </c>
      <c r="E291" s="13" t="s">
        <v>16</v>
      </c>
      <c r="F291" s="14">
        <v>0</v>
      </c>
      <c r="G291" s="14">
        <v>3791.0800</v>
      </c>
      <c r="H291" s="14">
        <v>0</v>
      </c>
      <c r="I291" s="14">
        <v>3791.0800</v>
      </c>
      <c r="J291" s="13" t="s">
        <v>46</v>
      </c>
    </row>
    <row r="292" ht="10.95" customHeight="true" customFormat="true" s="8">
      <c r="A292" s="12">
        <v>45929</v>
      </c>
      <c r="B292" s="13" t="s">
        <v>36</v>
      </c>
      <c r="C292" s="13" t="s">
        <v>338</v>
      </c>
      <c r="D292" s="13" t="s">
        <v>337</v>
      </c>
      <c r="E292" s="13" t="s">
        <v>16</v>
      </c>
      <c r="F292" s="14">
        <v>0</v>
      </c>
      <c r="G292" s="14">
        <v>1000.0000</v>
      </c>
      <c r="H292" s="14">
        <v>0</v>
      </c>
      <c r="I292" s="14">
        <v>1000.0000</v>
      </c>
      <c r="J292" s="13" t="s">
        <v>46</v>
      </c>
    </row>
    <row r="293" ht="10.95" customHeight="true" customFormat="true" s="8">
      <c r="A293" s="12">
        <v>45972</v>
      </c>
      <c r="B293" s="13" t="s">
        <v>36</v>
      </c>
      <c r="C293" s="13" t="s">
        <v>339</v>
      </c>
      <c r="D293" s="13" t="s">
        <v>340</v>
      </c>
      <c r="E293" s="13" t="s">
        <v>16</v>
      </c>
      <c r="F293" s="14">
        <v>0</v>
      </c>
      <c r="G293" s="14">
        <v>10684.1600</v>
      </c>
      <c r="H293" s="14">
        <v>0</v>
      </c>
      <c r="I293" s="14">
        <v>10684.1600</v>
      </c>
      <c r="J293" s="13" t="s">
        <v>46</v>
      </c>
    </row>
    <row r="294" ht="10.95" customHeight="true" customFormat="true" s="8">
      <c r="A294" s="12">
        <v>45972</v>
      </c>
      <c r="B294" s="13" t="s">
        <v>36</v>
      </c>
      <c r="C294" s="13" t="s">
        <v>310</v>
      </c>
      <c r="D294" s="13" t="s">
        <v>340</v>
      </c>
      <c r="E294" s="13" t="s">
        <v>16</v>
      </c>
      <c r="F294" s="14">
        <v>0</v>
      </c>
      <c r="G294" s="14">
        <v>1775.6600</v>
      </c>
      <c r="H294" s="14">
        <v>0</v>
      </c>
      <c r="I294" s="14">
        <v>1775.6600</v>
      </c>
      <c r="J294" s="13" t="s">
        <v>46</v>
      </c>
    </row>
    <row r="295" ht="10.95" customHeight="true" customFormat="true" s="8">
      <c r="A295" s="12">
        <v>45972</v>
      </c>
      <c r="B295" s="13" t="s">
        <v>36</v>
      </c>
      <c r="C295" s="13" t="s">
        <v>341</v>
      </c>
      <c r="D295" s="13" t="s">
        <v>340</v>
      </c>
      <c r="E295" s="13" t="s">
        <v>16</v>
      </c>
      <c r="F295" s="14">
        <v>0</v>
      </c>
      <c r="G295" s="14">
        <v>905.1800</v>
      </c>
      <c r="H295" s="14">
        <v>0</v>
      </c>
      <c r="I295" s="14">
        <v>905.1800</v>
      </c>
      <c r="J295" s="13" t="s">
        <v>46</v>
      </c>
    </row>
    <row r="296" ht="10.95" customHeight="true" customFormat="true" s="8">
      <c r="A296" s="12">
        <v>45972</v>
      </c>
      <c r="B296" s="13" t="s">
        <v>36</v>
      </c>
      <c r="C296" s="13" t="s">
        <v>342</v>
      </c>
      <c r="D296" s="13" t="s">
        <v>340</v>
      </c>
      <c r="E296" s="13" t="s">
        <v>16</v>
      </c>
      <c r="F296" s="14">
        <v>0</v>
      </c>
      <c r="G296" s="14">
        <v>905.1800</v>
      </c>
      <c r="H296" s="14">
        <v>0</v>
      </c>
      <c r="I296" s="14">
        <v>905.1800</v>
      </c>
      <c r="J296" s="13" t="s">
        <v>46</v>
      </c>
    </row>
    <row r="297" ht="10.95" customHeight="true" customFormat="true" s="8">
      <c r="A297" s="12">
        <v>45972</v>
      </c>
      <c r="B297" s="13" t="s">
        <v>36</v>
      </c>
      <c r="C297" s="13" t="s">
        <v>343</v>
      </c>
      <c r="D297" s="13" t="s">
        <v>340</v>
      </c>
      <c r="E297" s="13" t="s">
        <v>16</v>
      </c>
      <c r="F297" s="14">
        <v>0</v>
      </c>
      <c r="G297" s="14">
        <v>905.1800</v>
      </c>
      <c r="H297" s="14">
        <v>0</v>
      </c>
      <c r="I297" s="14">
        <v>905.1800</v>
      </c>
      <c r="J297" s="13" t="s">
        <v>46</v>
      </c>
    </row>
    <row r="298" ht="10.95" customHeight="true" customFormat="true" s="8">
      <c r="A298" s="12">
        <v>45972</v>
      </c>
      <c r="B298" s="13" t="s">
        <v>36</v>
      </c>
      <c r="C298" s="13" t="s">
        <v>344</v>
      </c>
      <c r="D298" s="13" t="s">
        <v>340</v>
      </c>
      <c r="E298" s="13" t="s">
        <v>16</v>
      </c>
      <c r="F298" s="14">
        <v>0</v>
      </c>
      <c r="G298" s="14">
        <v>1709.7800</v>
      </c>
      <c r="H298" s="14">
        <v>0</v>
      </c>
      <c r="I298" s="14">
        <v>1709.7800</v>
      </c>
      <c r="J298" s="13" t="s">
        <v>46</v>
      </c>
    </row>
    <row r="299" ht="10.95" customHeight="true" customFormat="true" s="8">
      <c r="A299" s="12">
        <v>45972</v>
      </c>
      <c r="B299" s="13" t="s">
        <v>36</v>
      </c>
      <c r="C299" s="13" t="s">
        <v>345</v>
      </c>
      <c r="D299" s="13" t="s">
        <v>340</v>
      </c>
      <c r="E299" s="13" t="s">
        <v>16</v>
      </c>
      <c r="F299" s="14">
        <v>0</v>
      </c>
      <c r="G299" s="14">
        <v>754.3100</v>
      </c>
      <c r="H299" s="14">
        <v>0</v>
      </c>
      <c r="I299" s="14">
        <v>754.3100</v>
      </c>
      <c r="J299" s="13" t="s">
        <v>46</v>
      </c>
    </row>
    <row r="300" ht="10.95" customHeight="true" customFormat="true" s="8">
      <c r="A300" s="12">
        <v>45972</v>
      </c>
      <c r="B300" s="13" t="s">
        <v>36</v>
      </c>
      <c r="C300" s="13" t="s">
        <v>346</v>
      </c>
      <c r="D300" s="13" t="s">
        <v>340</v>
      </c>
      <c r="E300" s="13" t="s">
        <v>16</v>
      </c>
      <c r="F300" s="14">
        <v>0</v>
      </c>
      <c r="G300" s="14">
        <v>2514.4000</v>
      </c>
      <c r="H300" s="14">
        <v>0</v>
      </c>
      <c r="I300" s="14">
        <v>2514.4000</v>
      </c>
      <c r="J300" s="13" t="s">
        <v>46</v>
      </c>
    </row>
    <row r="301" ht="10.95" customHeight="true" customFormat="true" s="8">
      <c r="A301" s="12">
        <v>45972</v>
      </c>
      <c r="B301" s="13" t="s">
        <v>36</v>
      </c>
      <c r="C301" s="13" t="s">
        <v>347</v>
      </c>
      <c r="D301" s="13" t="s">
        <v>340</v>
      </c>
      <c r="E301" s="13" t="s">
        <v>16</v>
      </c>
      <c r="F301" s="14">
        <v>0</v>
      </c>
      <c r="G301" s="14">
        <v>1584.0700</v>
      </c>
      <c r="H301" s="14">
        <v>0</v>
      </c>
      <c r="I301" s="14">
        <v>1584.0700</v>
      </c>
      <c r="J301" s="13" t="s">
        <v>46</v>
      </c>
    </row>
    <row r="302" ht="10.95" customHeight="true" customFormat="true" s="8">
      <c r="A302" s="12">
        <v>45972</v>
      </c>
      <c r="B302" s="13" t="s">
        <v>36</v>
      </c>
      <c r="C302" s="13" t="s">
        <v>348</v>
      </c>
      <c r="D302" s="13" t="s">
        <v>340</v>
      </c>
      <c r="E302" s="13" t="s">
        <v>16</v>
      </c>
      <c r="F302" s="14">
        <v>0</v>
      </c>
      <c r="G302" s="14">
        <v>1508.6400</v>
      </c>
      <c r="H302" s="14">
        <v>0</v>
      </c>
      <c r="I302" s="14">
        <v>1508.6400</v>
      </c>
      <c r="J302" s="13" t="s">
        <v>46</v>
      </c>
    </row>
    <row r="303" ht="10.95" customHeight="true" customFormat="true" s="8">
      <c r="A303" s="12">
        <v>45972</v>
      </c>
      <c r="B303" s="13" t="s">
        <v>36</v>
      </c>
      <c r="C303" s="13" t="s">
        <v>349</v>
      </c>
      <c r="D303" s="13" t="s">
        <v>340</v>
      </c>
      <c r="E303" s="13" t="s">
        <v>16</v>
      </c>
      <c r="F303" s="14">
        <v>0</v>
      </c>
      <c r="G303" s="14">
        <v>3645.8800</v>
      </c>
      <c r="H303" s="14">
        <v>0</v>
      </c>
      <c r="I303" s="14">
        <v>3645.8800</v>
      </c>
      <c r="J303" s="13" t="s">
        <v>46</v>
      </c>
    </row>
    <row r="304" ht="10.95" customHeight="true" customFormat="true" s="8">
      <c r="A304" s="12">
        <v>45972</v>
      </c>
      <c r="B304" s="13" t="s">
        <v>36</v>
      </c>
      <c r="C304" s="13" t="s">
        <v>350</v>
      </c>
      <c r="D304" s="13" t="s">
        <v>340</v>
      </c>
      <c r="E304" s="13" t="s">
        <v>16</v>
      </c>
      <c r="F304" s="14">
        <v>0</v>
      </c>
      <c r="G304" s="14">
        <v>1382.9200</v>
      </c>
      <c r="H304" s="14">
        <v>0</v>
      </c>
      <c r="I304" s="14">
        <v>1382.9200</v>
      </c>
      <c r="J304" s="13" t="s">
        <v>46</v>
      </c>
    </row>
    <row r="305" ht="10.95" customHeight="true" customFormat="true" s="8">
      <c r="A305" s="12">
        <v>45972</v>
      </c>
      <c r="B305" s="13" t="s">
        <v>36</v>
      </c>
      <c r="C305" s="13" t="s">
        <v>351</v>
      </c>
      <c r="D305" s="13" t="s">
        <v>340</v>
      </c>
      <c r="E305" s="13" t="s">
        <v>16</v>
      </c>
      <c r="F305" s="14">
        <v>0</v>
      </c>
      <c r="G305" s="14">
        <v>838.1400</v>
      </c>
      <c r="H305" s="14">
        <v>0</v>
      </c>
      <c r="I305" s="14">
        <v>838.1400</v>
      </c>
      <c r="J305" s="13" t="s">
        <v>46</v>
      </c>
    </row>
    <row r="306" ht="10.95" customHeight="true" customFormat="true" s="8">
      <c r="A306" s="12">
        <v>45988</v>
      </c>
      <c r="B306" s="13" t="s">
        <v>36</v>
      </c>
      <c r="C306" s="13" t="s">
        <v>352</v>
      </c>
      <c r="D306" s="13" t="s">
        <v>353</v>
      </c>
      <c r="E306" s="13" t="s">
        <v>16</v>
      </c>
      <c r="F306" s="14">
        <v>0</v>
      </c>
      <c r="G306" s="14">
        <v>1100.0000</v>
      </c>
      <c r="H306" s="14">
        <v>0</v>
      </c>
      <c r="I306" s="14">
        <v>1100.0000</v>
      </c>
      <c r="J306" s="13" t="s">
        <v>46</v>
      </c>
    </row>
    <row r="307" ht="10.95" customHeight="true" customFormat="true" s="8">
      <c r="A307" s="12">
        <v>45988</v>
      </c>
      <c r="B307" s="13" t="s">
        <v>36</v>
      </c>
      <c r="C307" s="13" t="s">
        <v>354</v>
      </c>
      <c r="D307" s="13" t="s">
        <v>353</v>
      </c>
      <c r="E307" s="13" t="s">
        <v>16</v>
      </c>
      <c r="F307" s="14">
        <v>0</v>
      </c>
      <c r="G307" s="14">
        <v>1000.0000</v>
      </c>
      <c r="H307" s="14">
        <v>0</v>
      </c>
      <c r="I307" s="14">
        <v>1000.0000</v>
      </c>
      <c r="J307" s="13" t="s">
        <v>46</v>
      </c>
    </row>
    <row r="308" ht="10.95" customHeight="true" customFormat="true" s="8">
      <c r="A308" s="12">
        <v>45988</v>
      </c>
      <c r="B308" s="13" t="s">
        <v>36</v>
      </c>
      <c r="C308" s="13" t="s">
        <v>355</v>
      </c>
      <c r="D308" s="13" t="s">
        <v>353</v>
      </c>
      <c r="E308" s="13" t="s">
        <v>16</v>
      </c>
      <c r="F308" s="14">
        <v>0</v>
      </c>
      <c r="G308" s="14">
        <v>1000.0000</v>
      </c>
      <c r="H308" s="14">
        <v>0</v>
      </c>
      <c r="I308" s="14">
        <v>1000.0000</v>
      </c>
      <c r="J308" s="13" t="s">
        <v>46</v>
      </c>
    </row>
    <row r="309" ht="10.95" customHeight="true" customFormat="true" s="8">
      <c r="A309" s="12">
        <v>45988</v>
      </c>
      <c r="B309" s="13" t="s">
        <v>36</v>
      </c>
      <c r="C309" s="13" t="s">
        <v>356</v>
      </c>
      <c r="D309" s="13" t="s">
        <v>353</v>
      </c>
      <c r="E309" s="13" t="s">
        <v>16</v>
      </c>
      <c r="F309" s="14">
        <v>0</v>
      </c>
      <c r="G309" s="14">
        <v>500.0000</v>
      </c>
      <c r="H309" s="14">
        <v>0</v>
      </c>
      <c r="I309" s="14">
        <v>500.0000</v>
      </c>
      <c r="J309" s="13" t="s">
        <v>46</v>
      </c>
    </row>
    <row r="310" ht="10.95" customHeight="true" customFormat="true" s="8">
      <c r="A310" s="12">
        <v>45988</v>
      </c>
      <c r="B310" s="13" t="s">
        <v>36</v>
      </c>
      <c r="C310" s="13" t="s">
        <v>357</v>
      </c>
      <c r="D310" s="13" t="s">
        <v>353</v>
      </c>
      <c r="E310" s="13" t="s">
        <v>16</v>
      </c>
      <c r="F310" s="14">
        <v>0</v>
      </c>
      <c r="G310" s="14">
        <v>750.0000</v>
      </c>
      <c r="H310" s="14">
        <v>0</v>
      </c>
      <c r="I310" s="14">
        <v>750.0000</v>
      </c>
      <c r="J310" s="13" t="s">
        <v>46</v>
      </c>
    </row>
    <row r="311" ht="10.95" customHeight="true" customFormat="true" s="8">
      <c r="A311" s="12">
        <v>45988</v>
      </c>
      <c r="B311" s="13" t="s">
        <v>36</v>
      </c>
      <c r="C311" s="13" t="s">
        <v>358</v>
      </c>
      <c r="D311" s="13" t="s">
        <v>353</v>
      </c>
      <c r="E311" s="13" t="s">
        <v>16</v>
      </c>
      <c r="F311" s="14">
        <v>0</v>
      </c>
      <c r="G311" s="14">
        <v>750.0000</v>
      </c>
      <c r="H311" s="14">
        <v>0</v>
      </c>
      <c r="I311" s="14">
        <v>750.0000</v>
      </c>
      <c r="J311" s="13" t="s">
        <v>46</v>
      </c>
    </row>
    <row r="312" ht="10.95" customHeight="true" customFormat="true" s="8">
      <c r="A312" s="12">
        <v>45988</v>
      </c>
      <c r="B312" s="13" t="s">
        <v>36</v>
      </c>
      <c r="C312" s="13" t="s">
        <v>359</v>
      </c>
      <c r="D312" s="13" t="s">
        <v>353</v>
      </c>
      <c r="E312" s="13" t="s">
        <v>16</v>
      </c>
      <c r="F312" s="14">
        <v>0</v>
      </c>
      <c r="G312" s="14">
        <v>500.0000</v>
      </c>
      <c r="H312" s="14">
        <v>0</v>
      </c>
      <c r="I312" s="14">
        <v>500.0000</v>
      </c>
      <c r="J312" s="13" t="s">
        <v>46</v>
      </c>
    </row>
    <row r="313" ht="10.95" customHeight="true" customFormat="true" s="8">
      <c r="A313" s="15" t="s">
        <v>360</v>
      </c>
      <c r="B313" s="15"/>
      <c r="C313" s="15"/>
      <c r="D313" s="15"/>
      <c r="E313" s="15"/>
      <c r="F313" s="16">
        <f ca="1">SUM(F269:F312)</f>
        <v>0</v>
      </c>
      <c r="G313" s="16">
        <f ca="1">SUM(G269:G312)</f>
        <v>0</v>
      </c>
      <c r="H313" s="16">
        <f ca="1">SUM(H269:H312)</f>
        <v>0</v>
      </c>
      <c r="I313" s="16">
        <f ca="1">SUM(I269:I312)</f>
        <v>0</v>
      </c>
      <c r="J313" s="15"/>
    </row>
    <row r="314" ht="13.35" customHeight="true"/>
    <row r="315" ht="12.1" customHeight="true" customFormat="true" s="5">
      <c r="A315" s="17" t="s">
        <v>361</v>
      </c>
      <c r="B315" s="17"/>
      <c r="C315" s="17"/>
      <c r="D315" s="17"/>
      <c r="E315" s="17"/>
      <c r="F315" s="17"/>
      <c r="G315" s="17"/>
      <c r="H315" s="17"/>
      <c r="I315" s="17"/>
      <c r="J315" s="17"/>
    </row>
    <row r="316" ht="10.95" customHeight="true" customFormat="true" s="8">
      <c r="A316" s="9">
        <v>45345</v>
      </c>
      <c r="B316" s="10" t="s">
        <v>36</v>
      </c>
      <c r="C316" s="10" t="s">
        <v>362</v>
      </c>
      <c r="D316" s="10" t="s">
        <v>363</v>
      </c>
      <c r="E316" s="10" t="s">
        <v>16</v>
      </c>
      <c r="F316" s="11">
        <v>0</v>
      </c>
      <c r="G316" s="11">
        <v>14689.8000</v>
      </c>
      <c r="H316" s="11">
        <v>0</v>
      </c>
      <c r="I316" s="11">
        <v>14689.8000</v>
      </c>
      <c r="J316" s="10" t="s">
        <v>20</v>
      </c>
    </row>
    <row r="317" ht="10.95" customHeight="true" customFormat="true" s="8">
      <c r="A317" s="12">
        <v>45345</v>
      </c>
      <c r="B317" s="13" t="s">
        <v>36</v>
      </c>
      <c r="C317" s="13" t="s">
        <v>364</v>
      </c>
      <c r="D317" s="13" t="s">
        <v>363</v>
      </c>
      <c r="E317" s="13" t="s">
        <v>16</v>
      </c>
      <c r="F317" s="14">
        <v>0</v>
      </c>
      <c r="G317" s="14">
        <v>921.0000</v>
      </c>
      <c r="H317" s="14">
        <v>0</v>
      </c>
      <c r="I317" s="14">
        <v>921.0000</v>
      </c>
      <c r="J317" s="13" t="s">
        <v>18</v>
      </c>
    </row>
    <row r="318" ht="10.95" customHeight="true" customFormat="true" s="8">
      <c r="A318" s="15" t="s">
        <v>365</v>
      </c>
      <c r="B318" s="15"/>
      <c r="C318" s="15"/>
      <c r="D318" s="15"/>
      <c r="E318" s="15"/>
      <c r="F318" s="16">
        <f ca="1">SUM(F316:F317)</f>
        <v>0</v>
      </c>
      <c r="G318" s="16">
        <f ca="1">SUM(G316:G317)</f>
        <v>0</v>
      </c>
      <c r="H318" s="16">
        <f ca="1">SUM(H316:H317)</f>
        <v>0</v>
      </c>
      <c r="I318" s="16">
        <f ca="1">SUM(I316:I317)</f>
        <v>0</v>
      </c>
      <c r="J318" s="15"/>
    </row>
    <row r="319" ht="13.35" customHeight="true"/>
    <row r="320" ht="12.1" customHeight="true" customFormat="true" s="5">
      <c r="A320" s="17" t="s">
        <v>366</v>
      </c>
      <c r="B320" s="17"/>
      <c r="C320" s="17"/>
      <c r="D320" s="17"/>
      <c r="E320" s="17"/>
      <c r="F320" s="17"/>
      <c r="G320" s="17"/>
      <c r="H320" s="17"/>
      <c r="I320" s="17"/>
      <c r="J320" s="17"/>
    </row>
    <row r="321" ht="10.95" customHeight="true" customFormat="true" s="8">
      <c r="A321" s="9">
        <v>45703</v>
      </c>
      <c r="B321" s="10" t="s">
        <v>36</v>
      </c>
      <c r="C321" s="10" t="s">
        <v>367</v>
      </c>
      <c r="D321" s="10" t="s">
        <v>368</v>
      </c>
      <c r="E321" s="10" t="s">
        <v>16</v>
      </c>
      <c r="F321" s="11">
        <v>0</v>
      </c>
      <c r="G321" s="11">
        <v>2040.0000</v>
      </c>
      <c r="H321" s="11">
        <v>0</v>
      </c>
      <c r="I321" s="11">
        <v>2040.0000</v>
      </c>
      <c r="J321" s="10" t="s">
        <v>46</v>
      </c>
    </row>
    <row r="322" ht="10.95" customHeight="true" customFormat="true" s="8">
      <c r="A322" s="15" t="s">
        <v>369</v>
      </c>
      <c r="B322" s="15"/>
      <c r="C322" s="15"/>
      <c r="D322" s="15"/>
      <c r="E322" s="15"/>
      <c r="F322" s="16">
        <f ca="1">F321</f>
        <v>0</v>
      </c>
      <c r="G322" s="16">
        <f ca="1">G321</f>
        <v>0</v>
      </c>
      <c r="H322" s="16">
        <f ca="1">H321</f>
        <v>0</v>
      </c>
      <c r="I322" s="16">
        <f ca="1">I321</f>
        <v>0</v>
      </c>
      <c r="J322" s="15"/>
    </row>
    <row r="323" ht="13.35" customHeight="true"/>
    <row r="324" ht="12.1" customHeight="true" customFormat="true" s="5">
      <c r="A324" s="17" t="s">
        <v>370</v>
      </c>
      <c r="B324" s="17"/>
      <c r="C324" s="17"/>
      <c r="D324" s="17"/>
      <c r="E324" s="17"/>
      <c r="F324" s="17"/>
      <c r="G324" s="17"/>
      <c r="H324" s="17"/>
      <c r="I324" s="17"/>
      <c r="J324" s="17"/>
    </row>
    <row r="325" ht="10.95" customHeight="true" customFormat="true" s="8">
      <c r="A325" s="9">
        <v>45713</v>
      </c>
      <c r="B325" s="10" t="s">
        <v>36</v>
      </c>
      <c r="C325" s="10" t="s">
        <v>371</v>
      </c>
      <c r="D325" s="10" t="s">
        <v>372</v>
      </c>
      <c r="E325" s="10" t="s">
        <v>16</v>
      </c>
      <c r="F325" s="11">
        <v>0</v>
      </c>
      <c r="G325" s="11">
        <v>1827.0000</v>
      </c>
      <c r="H325" s="11">
        <v>0</v>
      </c>
      <c r="I325" s="11">
        <v>1827.0000</v>
      </c>
      <c r="J325" s="10" t="s">
        <v>18</v>
      </c>
    </row>
    <row r="326" ht="10.95" customHeight="true" customFormat="true" s="8">
      <c r="A326" s="12">
        <v>45713</v>
      </c>
      <c r="B326" s="13" t="s">
        <v>36</v>
      </c>
      <c r="C326" s="13" t="s">
        <v>373</v>
      </c>
      <c r="D326" s="13" t="s">
        <v>372</v>
      </c>
      <c r="E326" s="13" t="s">
        <v>16</v>
      </c>
      <c r="F326" s="14">
        <v>0</v>
      </c>
      <c r="G326" s="14">
        <v>1765.8000</v>
      </c>
      <c r="H326" s="14">
        <v>0</v>
      </c>
      <c r="I326" s="14">
        <v>1765.8000</v>
      </c>
      <c r="J326" s="13" t="s">
        <v>18</v>
      </c>
    </row>
    <row r="327" ht="10.95" customHeight="true" customFormat="true" s="8">
      <c r="A327" s="15" t="s">
        <v>374</v>
      </c>
      <c r="B327" s="15"/>
      <c r="C327" s="15"/>
      <c r="D327" s="15"/>
      <c r="E327" s="15"/>
      <c r="F327" s="16">
        <f ca="1">SUM(F325:F326)</f>
        <v>0</v>
      </c>
      <c r="G327" s="16">
        <f ca="1">SUM(G325:G326)</f>
        <v>0</v>
      </c>
      <c r="H327" s="16">
        <f ca="1">SUM(H325:H326)</f>
        <v>0</v>
      </c>
      <c r="I327" s="16">
        <f ca="1">SUM(I325:I326)</f>
        <v>0</v>
      </c>
      <c r="J327" s="15"/>
    </row>
    <row r="328" ht="13.35" customHeight="true"/>
    <row r="329" ht="12.1" customHeight="true" customFormat="true" s="5">
      <c r="A329" s="17" t="s">
        <v>375</v>
      </c>
      <c r="B329" s="17"/>
      <c r="C329" s="17"/>
      <c r="D329" s="17"/>
      <c r="E329" s="17"/>
      <c r="F329" s="17"/>
      <c r="G329" s="17"/>
      <c r="H329" s="17"/>
      <c r="I329" s="17"/>
      <c r="J329" s="17"/>
    </row>
    <row r="330" ht="10.95" customHeight="true" customFormat="true" s="8">
      <c r="A330" s="9">
        <v>45384</v>
      </c>
      <c r="B330" s="10" t="s">
        <v>36</v>
      </c>
      <c r="C330" s="10" t="s">
        <v>376</v>
      </c>
      <c r="D330" s="10" t="s">
        <v>377</v>
      </c>
      <c r="E330" s="10" t="s">
        <v>16</v>
      </c>
      <c r="F330" s="11">
        <v>0</v>
      </c>
      <c r="G330" s="11">
        <v>290.0000</v>
      </c>
      <c r="H330" s="11">
        <v>0</v>
      </c>
      <c r="I330" s="11">
        <v>290.0000</v>
      </c>
      <c r="J330" s="10" t="s">
        <v>41</v>
      </c>
    </row>
    <row r="331" ht="10.95" customHeight="true" customFormat="true" s="8">
      <c r="A331" s="15" t="s">
        <v>378</v>
      </c>
      <c r="B331" s="15"/>
      <c r="C331" s="15"/>
      <c r="D331" s="15"/>
      <c r="E331" s="15"/>
      <c r="F331" s="16">
        <f ca="1">F330</f>
        <v>0</v>
      </c>
      <c r="G331" s="16">
        <f ca="1">G330</f>
        <v>0</v>
      </c>
      <c r="H331" s="16">
        <f ca="1">H330</f>
        <v>0</v>
      </c>
      <c r="I331" s="16">
        <f ca="1">I330</f>
        <v>0</v>
      </c>
      <c r="J331" s="15"/>
    </row>
    <row r="332" ht="13.35" customHeight="true"/>
    <row r="333" ht="12.1" customHeight="true" customFormat="true" s="5">
      <c r="A333" s="17" t="s">
        <v>379</v>
      </c>
      <c r="B333" s="17"/>
      <c r="C333" s="17"/>
      <c r="D333" s="17"/>
      <c r="E333" s="17"/>
      <c r="F333" s="17"/>
      <c r="G333" s="17"/>
      <c r="H333" s="17"/>
      <c r="I333" s="17"/>
      <c r="J333" s="17"/>
    </row>
    <row r="334" ht="10.95" customHeight="true" customFormat="true" s="8">
      <c r="A334" s="9">
        <v>45616</v>
      </c>
      <c r="B334" s="10" t="s">
        <v>36</v>
      </c>
      <c r="C334" s="10" t="s">
        <v>380</v>
      </c>
      <c r="D334" s="10" t="s">
        <v>381</v>
      </c>
      <c r="E334" s="10" t="s">
        <v>16</v>
      </c>
      <c r="F334" s="11">
        <v>0</v>
      </c>
      <c r="G334" s="11">
        <v>1051.5600</v>
      </c>
      <c r="H334" s="11">
        <v>0</v>
      </c>
      <c r="I334" s="11">
        <v>1051.5600</v>
      </c>
      <c r="J334" s="10" t="s">
        <v>46</v>
      </c>
    </row>
    <row r="335" ht="10.95" customHeight="true" customFormat="true" s="8">
      <c r="A335" s="12">
        <v>45733</v>
      </c>
      <c r="B335" s="13" t="s">
        <v>36</v>
      </c>
      <c r="C335" s="13" t="s">
        <v>382</v>
      </c>
      <c r="D335" s="13" t="s">
        <v>383</v>
      </c>
      <c r="E335" s="13" t="s">
        <v>16</v>
      </c>
      <c r="F335" s="14">
        <v>0</v>
      </c>
      <c r="G335" s="14">
        <v>1859.9900</v>
      </c>
      <c r="H335" s="14">
        <v>0</v>
      </c>
      <c r="I335" s="14">
        <v>1859.9900</v>
      </c>
      <c r="J335" s="13" t="s">
        <v>18</v>
      </c>
    </row>
    <row r="336" ht="10.95" customHeight="true" customFormat="true" s="8">
      <c r="A336" s="12">
        <v>45733</v>
      </c>
      <c r="B336" s="13" t="s">
        <v>36</v>
      </c>
      <c r="C336" s="13" t="s">
        <v>384</v>
      </c>
      <c r="D336" s="13" t="s">
        <v>383</v>
      </c>
      <c r="E336" s="13" t="s">
        <v>16</v>
      </c>
      <c r="F336" s="14">
        <v>0</v>
      </c>
      <c r="G336" s="14">
        <v>590.0800</v>
      </c>
      <c r="H336" s="14">
        <v>0</v>
      </c>
      <c r="I336" s="14">
        <v>590.0800</v>
      </c>
      <c r="J336" s="13" t="s">
        <v>18</v>
      </c>
    </row>
    <row r="337" ht="10.95" customHeight="true" customFormat="true" s="8">
      <c r="A337" s="12">
        <v>45776</v>
      </c>
      <c r="B337" s="13" t="s">
        <v>36</v>
      </c>
      <c r="C337" s="13" t="s">
        <v>385</v>
      </c>
      <c r="D337" s="13" t="s">
        <v>386</v>
      </c>
      <c r="E337" s="13" t="s">
        <v>16</v>
      </c>
      <c r="F337" s="14">
        <v>0</v>
      </c>
      <c r="G337" s="14">
        <v>606.5300</v>
      </c>
      <c r="H337" s="14">
        <v>0</v>
      </c>
      <c r="I337" s="14">
        <v>606.5300</v>
      </c>
      <c r="J337" s="13" t="s">
        <v>221</v>
      </c>
    </row>
    <row r="338" ht="10.95" customHeight="true" customFormat="true" s="8">
      <c r="A338" s="12">
        <v>45776</v>
      </c>
      <c r="B338" s="13" t="s">
        <v>36</v>
      </c>
      <c r="C338" s="13" t="s">
        <v>387</v>
      </c>
      <c r="D338" s="13" t="s">
        <v>386</v>
      </c>
      <c r="E338" s="13" t="s">
        <v>16</v>
      </c>
      <c r="F338" s="14">
        <v>0</v>
      </c>
      <c r="G338" s="14">
        <v>849.1600</v>
      </c>
      <c r="H338" s="14">
        <v>0</v>
      </c>
      <c r="I338" s="14">
        <v>849.1600</v>
      </c>
      <c r="J338" s="13" t="s">
        <v>268</v>
      </c>
    </row>
    <row r="339" ht="10.95" customHeight="true" customFormat="true" s="8">
      <c r="A339" s="12">
        <v>45776</v>
      </c>
      <c r="B339" s="13" t="s">
        <v>36</v>
      </c>
      <c r="C339" s="13" t="s">
        <v>388</v>
      </c>
      <c r="D339" s="13" t="s">
        <v>386</v>
      </c>
      <c r="E339" s="13" t="s">
        <v>16</v>
      </c>
      <c r="F339" s="14">
        <v>0</v>
      </c>
      <c r="G339" s="14">
        <v>5822.7200</v>
      </c>
      <c r="H339" s="14">
        <v>0</v>
      </c>
      <c r="I339" s="14">
        <v>5822.7200</v>
      </c>
      <c r="J339" s="13" t="s">
        <v>268</v>
      </c>
    </row>
    <row r="340" ht="10.95" customHeight="true" customFormat="true" s="8">
      <c r="A340" s="12">
        <v>45776</v>
      </c>
      <c r="B340" s="13" t="s">
        <v>36</v>
      </c>
      <c r="C340" s="13" t="s">
        <v>389</v>
      </c>
      <c r="D340" s="13" t="s">
        <v>386</v>
      </c>
      <c r="E340" s="13" t="s">
        <v>16</v>
      </c>
      <c r="F340" s="14">
        <v>0</v>
      </c>
      <c r="G340" s="14">
        <v>1455.6800</v>
      </c>
      <c r="H340" s="14">
        <v>0</v>
      </c>
      <c r="I340" s="14">
        <v>1455.6800</v>
      </c>
      <c r="J340" s="13" t="s">
        <v>268</v>
      </c>
    </row>
    <row r="341" ht="10.95" customHeight="true" customFormat="true" s="8">
      <c r="A341" s="12">
        <v>45776</v>
      </c>
      <c r="B341" s="13" t="s">
        <v>36</v>
      </c>
      <c r="C341" s="13" t="s">
        <v>390</v>
      </c>
      <c r="D341" s="13" t="s">
        <v>386</v>
      </c>
      <c r="E341" s="13" t="s">
        <v>16</v>
      </c>
      <c r="F341" s="14">
        <v>0</v>
      </c>
      <c r="G341" s="14">
        <v>5094.8800</v>
      </c>
      <c r="H341" s="14">
        <v>0</v>
      </c>
      <c r="I341" s="14">
        <v>5094.8800</v>
      </c>
      <c r="J341" s="13" t="s">
        <v>391</v>
      </c>
    </row>
    <row r="342" ht="10.95" customHeight="true" customFormat="true" s="8">
      <c r="A342" s="12">
        <v>45776</v>
      </c>
      <c r="B342" s="13" t="s">
        <v>36</v>
      </c>
      <c r="C342" s="13" t="s">
        <v>392</v>
      </c>
      <c r="D342" s="13" t="s">
        <v>386</v>
      </c>
      <c r="E342" s="13" t="s">
        <v>16</v>
      </c>
      <c r="F342" s="14">
        <v>0</v>
      </c>
      <c r="G342" s="14">
        <v>2350.3200</v>
      </c>
      <c r="H342" s="14">
        <v>0</v>
      </c>
      <c r="I342" s="14">
        <v>2350.3200</v>
      </c>
      <c r="J342" s="13" t="s">
        <v>168</v>
      </c>
    </row>
    <row r="343" ht="10.95" customHeight="true" customFormat="true" s="8">
      <c r="A343" s="12">
        <v>45776</v>
      </c>
      <c r="B343" s="13" t="s">
        <v>36</v>
      </c>
      <c r="C343" s="13" t="s">
        <v>380</v>
      </c>
      <c r="D343" s="13" t="s">
        <v>386</v>
      </c>
      <c r="E343" s="13" t="s">
        <v>16</v>
      </c>
      <c r="F343" s="14">
        <v>0</v>
      </c>
      <c r="G343" s="14">
        <v>520.6100</v>
      </c>
      <c r="H343" s="14">
        <v>0</v>
      </c>
      <c r="I343" s="14">
        <v>520.6100</v>
      </c>
      <c r="J343" s="13" t="s">
        <v>140</v>
      </c>
    </row>
    <row r="344" ht="10.95" customHeight="true" customFormat="true" s="8">
      <c r="A344" s="12">
        <v>45776</v>
      </c>
      <c r="B344" s="13" t="s">
        <v>36</v>
      </c>
      <c r="C344" s="13" t="s">
        <v>393</v>
      </c>
      <c r="D344" s="13" t="s">
        <v>386</v>
      </c>
      <c r="E344" s="13" t="s">
        <v>16</v>
      </c>
      <c r="F344" s="14">
        <v>0</v>
      </c>
      <c r="G344" s="14">
        <v>485.2400</v>
      </c>
      <c r="H344" s="14">
        <v>0</v>
      </c>
      <c r="I344" s="14">
        <v>485.2400</v>
      </c>
      <c r="J344" s="13" t="s">
        <v>140</v>
      </c>
    </row>
    <row r="345" ht="10.95" customHeight="true" customFormat="true" s="8">
      <c r="A345" s="12">
        <v>45776</v>
      </c>
      <c r="B345" s="13" t="s">
        <v>36</v>
      </c>
      <c r="C345" s="13" t="s">
        <v>394</v>
      </c>
      <c r="D345" s="13" t="s">
        <v>386</v>
      </c>
      <c r="E345" s="13" t="s">
        <v>16</v>
      </c>
      <c r="F345" s="14">
        <v>0</v>
      </c>
      <c r="G345" s="14">
        <v>6065.3100</v>
      </c>
      <c r="H345" s="14">
        <v>0</v>
      </c>
      <c r="I345" s="14">
        <v>6065.3100</v>
      </c>
      <c r="J345" s="13" t="s">
        <v>140</v>
      </c>
    </row>
    <row r="346" ht="10.95" customHeight="true" customFormat="true" s="8">
      <c r="A346" s="12">
        <v>45776</v>
      </c>
      <c r="B346" s="13" t="s">
        <v>36</v>
      </c>
      <c r="C346" s="13" t="s">
        <v>395</v>
      </c>
      <c r="D346" s="13" t="s">
        <v>386</v>
      </c>
      <c r="E346" s="13" t="s">
        <v>16</v>
      </c>
      <c r="F346" s="14">
        <v>0</v>
      </c>
      <c r="G346" s="14">
        <v>379.0800</v>
      </c>
      <c r="H346" s="14">
        <v>0</v>
      </c>
      <c r="I346" s="14">
        <v>379.0800</v>
      </c>
      <c r="J346" s="13" t="s">
        <v>140</v>
      </c>
    </row>
    <row r="347" ht="10.95" customHeight="true" customFormat="true" s="8">
      <c r="A347" s="12">
        <v>45776</v>
      </c>
      <c r="B347" s="13" t="s">
        <v>36</v>
      </c>
      <c r="C347" s="13" t="s">
        <v>396</v>
      </c>
      <c r="D347" s="13" t="s">
        <v>386</v>
      </c>
      <c r="E347" s="13" t="s">
        <v>16</v>
      </c>
      <c r="F347" s="14">
        <v>0</v>
      </c>
      <c r="G347" s="14">
        <v>505.4400</v>
      </c>
      <c r="H347" s="14">
        <v>0</v>
      </c>
      <c r="I347" s="14">
        <v>505.4400</v>
      </c>
      <c r="J347" s="13" t="s">
        <v>24</v>
      </c>
    </row>
    <row r="348" ht="10.95" customHeight="true" customFormat="true" s="8">
      <c r="A348" s="12">
        <v>45776</v>
      </c>
      <c r="B348" s="13" t="s">
        <v>36</v>
      </c>
      <c r="C348" s="13" t="s">
        <v>397</v>
      </c>
      <c r="D348" s="13" t="s">
        <v>386</v>
      </c>
      <c r="E348" s="13" t="s">
        <v>16</v>
      </c>
      <c r="F348" s="14">
        <v>0</v>
      </c>
      <c r="G348" s="14">
        <v>1010.8800</v>
      </c>
      <c r="H348" s="14">
        <v>0</v>
      </c>
      <c r="I348" s="14">
        <v>1010.8800</v>
      </c>
      <c r="J348" s="13" t="s">
        <v>221</v>
      </c>
    </row>
    <row r="349" ht="10.95" customHeight="true" customFormat="true" s="8">
      <c r="A349" s="12">
        <v>45776</v>
      </c>
      <c r="B349" s="13" t="s">
        <v>36</v>
      </c>
      <c r="C349" s="13" t="s">
        <v>398</v>
      </c>
      <c r="D349" s="13" t="s">
        <v>386</v>
      </c>
      <c r="E349" s="13" t="s">
        <v>16</v>
      </c>
      <c r="F349" s="14">
        <v>0</v>
      </c>
      <c r="G349" s="14">
        <v>818.8000</v>
      </c>
      <c r="H349" s="14">
        <v>0</v>
      </c>
      <c r="I349" s="14">
        <v>818.8000</v>
      </c>
      <c r="J349" s="13" t="s">
        <v>138</v>
      </c>
    </row>
    <row r="350" ht="10.95" customHeight="true" customFormat="true" s="8">
      <c r="A350" s="12">
        <v>45855</v>
      </c>
      <c r="B350" s="13" t="s">
        <v>36</v>
      </c>
      <c r="C350" s="13" t="s">
        <v>398</v>
      </c>
      <c r="D350" s="13" t="s">
        <v>399</v>
      </c>
      <c r="E350" s="13" t="s">
        <v>16</v>
      </c>
      <c r="F350" s="14">
        <v>0</v>
      </c>
      <c r="G350" s="14">
        <v>929.4300</v>
      </c>
      <c r="H350" s="14">
        <v>0</v>
      </c>
      <c r="I350" s="14">
        <v>929.4300</v>
      </c>
      <c r="J350" s="13" t="s">
        <v>46</v>
      </c>
    </row>
    <row r="351" ht="10.95" customHeight="true" customFormat="true" s="8">
      <c r="A351" s="12">
        <v>45912</v>
      </c>
      <c r="B351" s="13" t="s">
        <v>36</v>
      </c>
      <c r="C351" s="13" t="s">
        <v>400</v>
      </c>
      <c r="D351" s="13" t="s">
        <v>401</v>
      </c>
      <c r="E351" s="13" t="s">
        <v>16</v>
      </c>
      <c r="F351" s="14">
        <v>0</v>
      </c>
      <c r="G351" s="14">
        <v>367.2000</v>
      </c>
      <c r="H351" s="14">
        <v>0</v>
      </c>
      <c r="I351" s="14">
        <v>367.2000</v>
      </c>
      <c r="J351" s="13" t="s">
        <v>46</v>
      </c>
    </row>
    <row r="352" ht="10.95" customHeight="true" customFormat="true" s="8">
      <c r="A352" s="12">
        <v>46034</v>
      </c>
      <c r="B352" s="13" t="s">
        <v>36</v>
      </c>
      <c r="C352" s="13" t="s">
        <v>402</v>
      </c>
      <c r="D352" s="13" t="s">
        <v>403</v>
      </c>
      <c r="E352" s="13" t="s">
        <v>16</v>
      </c>
      <c r="F352" s="14">
        <v>0</v>
      </c>
      <c r="G352" s="14">
        <v>7745.0000</v>
      </c>
      <c r="H352" s="14">
        <v>0</v>
      </c>
      <c r="I352" s="14">
        <v>7745.0000</v>
      </c>
      <c r="J352" s="13" t="s">
        <v>46</v>
      </c>
    </row>
    <row r="353" ht="10.95" customHeight="true" customFormat="true" s="8">
      <c r="A353" s="12">
        <v>46057</v>
      </c>
      <c r="B353" s="13" t="s">
        <v>36</v>
      </c>
      <c r="C353" s="13" t="s">
        <v>398</v>
      </c>
      <c r="D353" s="13" t="s">
        <v>404</v>
      </c>
      <c r="E353" s="13" t="s">
        <v>16</v>
      </c>
      <c r="F353" s="14">
        <v>0</v>
      </c>
      <c r="G353" s="14">
        <v>3390.4200</v>
      </c>
      <c r="H353" s="14">
        <v>0</v>
      </c>
      <c r="I353" s="14">
        <v>3390.4200</v>
      </c>
      <c r="J353" s="13" t="s">
        <v>46</v>
      </c>
    </row>
    <row r="354" ht="10.95" customHeight="true" customFormat="true" s="8">
      <c r="A354" s="12">
        <v>46146</v>
      </c>
      <c r="B354" s="13" t="s">
        <v>36</v>
      </c>
      <c r="C354" s="13" t="s">
        <v>398</v>
      </c>
      <c r="D354" s="13" t="s">
        <v>405</v>
      </c>
      <c r="E354" s="13" t="s">
        <v>16</v>
      </c>
      <c r="F354" s="14">
        <v>0</v>
      </c>
      <c r="G354" s="14">
        <v>206.3400</v>
      </c>
      <c r="H354" s="14">
        <v>0</v>
      </c>
      <c r="I354" s="14">
        <v>206.3400</v>
      </c>
      <c r="J354" s="13" t="s">
        <v>46</v>
      </c>
    </row>
    <row r="355" ht="10.95" customHeight="true" customFormat="true" s="8">
      <c r="A355" s="12">
        <v>46169</v>
      </c>
      <c r="B355" s="13" t="s">
        <v>36</v>
      </c>
      <c r="C355" s="13" t="s">
        <v>398</v>
      </c>
      <c r="D355" s="13" t="s">
        <v>406</v>
      </c>
      <c r="E355" s="13" t="s">
        <v>16</v>
      </c>
      <c r="F355" s="14">
        <v>0</v>
      </c>
      <c r="G355" s="14">
        <v>929.4300</v>
      </c>
      <c r="H355" s="14">
        <v>0</v>
      </c>
      <c r="I355" s="14">
        <v>929.4300</v>
      </c>
      <c r="J355" s="13" t="s">
        <v>46</v>
      </c>
    </row>
    <row r="356" ht="10.95" customHeight="true" customFormat="true" s="8">
      <c r="A356" s="12">
        <v>46202</v>
      </c>
      <c r="B356" s="13" t="s">
        <v>36</v>
      </c>
      <c r="C356" s="13" t="s">
        <v>398</v>
      </c>
      <c r="D356" s="13" t="s">
        <v>407</v>
      </c>
      <c r="E356" s="13" t="s">
        <v>16</v>
      </c>
      <c r="F356" s="14">
        <v>0</v>
      </c>
      <c r="G356" s="14">
        <v>516.3500</v>
      </c>
      <c r="H356" s="14">
        <v>0</v>
      </c>
      <c r="I356" s="14">
        <v>516.3500</v>
      </c>
      <c r="J356" s="13" t="s">
        <v>46</v>
      </c>
    </row>
    <row r="357" ht="10.95" customHeight="true" customFormat="true" s="8">
      <c r="A357" s="12">
        <v>46235</v>
      </c>
      <c r="B357" s="13" t="s">
        <v>36</v>
      </c>
      <c r="C357" s="13" t="s">
        <v>398</v>
      </c>
      <c r="D357" s="13" t="s">
        <v>408</v>
      </c>
      <c r="E357" s="13" t="s">
        <v>16</v>
      </c>
      <c r="F357" s="14">
        <v>0</v>
      </c>
      <c r="G357" s="14">
        <v>309.8100</v>
      </c>
      <c r="H357" s="14">
        <v>0</v>
      </c>
      <c r="I357" s="14">
        <v>309.8100</v>
      </c>
      <c r="J357" s="13" t="s">
        <v>46</v>
      </c>
    </row>
    <row r="358" ht="10.95" customHeight="true" customFormat="true" s="8">
      <c r="A358" s="15" t="s">
        <v>409</v>
      </c>
      <c r="B358" s="15"/>
      <c r="C358" s="15"/>
      <c r="D358" s="15"/>
      <c r="E358" s="15"/>
      <c r="F358" s="16">
        <f ca="1">SUM(F334:F357)</f>
        <v>0</v>
      </c>
      <c r="G358" s="16">
        <f ca="1">SUM(G334:G357)</f>
        <v>0</v>
      </c>
      <c r="H358" s="16">
        <f ca="1">SUM(H334:H357)</f>
        <v>0</v>
      </c>
      <c r="I358" s="16">
        <f ca="1">SUM(I334:I357)</f>
        <v>0</v>
      </c>
      <c r="J358" s="15"/>
    </row>
    <row r="359" ht="13.35" customHeight="true"/>
    <row r="360" ht="12.1" customHeight="true" customFormat="true" s="5">
      <c r="A360" s="17" t="s">
        <v>410</v>
      </c>
      <c r="B360" s="17"/>
      <c r="C360" s="17"/>
      <c r="D360" s="17"/>
      <c r="E360" s="17"/>
      <c r="F360" s="17"/>
      <c r="G360" s="17"/>
      <c r="H360" s="17"/>
      <c r="I360" s="17"/>
      <c r="J360" s="17"/>
    </row>
    <row r="361" ht="10.95" customHeight="true" customFormat="true" s="8">
      <c r="A361" s="9">
        <v>45776</v>
      </c>
      <c r="B361" s="10" t="s">
        <v>411</v>
      </c>
      <c r="C361" s="10" t="s">
        <v>412</v>
      </c>
      <c r="D361" s="10"/>
      <c r="E361" s="10" t="s">
        <v>16</v>
      </c>
      <c r="F361" s="11">
        <v>0</v>
      </c>
      <c r="G361" s="11">
        <v>228.9300</v>
      </c>
      <c r="H361" s="11">
        <v>0</v>
      </c>
      <c r="I361" s="11">
        <v>228.9300</v>
      </c>
      <c r="J361" s="10" t="s">
        <v>27</v>
      </c>
    </row>
    <row r="362" ht="10.95" customHeight="true" customFormat="true" s="8">
      <c r="A362" s="15" t="s">
        <v>413</v>
      </c>
      <c r="B362" s="15"/>
      <c r="C362" s="15"/>
      <c r="D362" s="15"/>
      <c r="E362" s="15"/>
      <c r="F362" s="16">
        <f ca="1">F361</f>
        <v>0</v>
      </c>
      <c r="G362" s="16">
        <f ca="1">G361</f>
        <v>0</v>
      </c>
      <c r="H362" s="16">
        <f ca="1">H361</f>
        <v>0</v>
      </c>
      <c r="I362" s="16">
        <f ca="1">I361</f>
        <v>0</v>
      </c>
      <c r="J362" s="15"/>
    </row>
    <row r="363" ht="13.35" customHeight="true"/>
    <row r="364" ht="12.1" customHeight="true" customFormat="true" s="5">
      <c r="A364" s="17" t="s">
        <v>414</v>
      </c>
      <c r="B364" s="17"/>
      <c r="C364" s="17"/>
      <c r="D364" s="17"/>
      <c r="E364" s="17"/>
      <c r="F364" s="17"/>
      <c r="G364" s="17"/>
      <c r="H364" s="17"/>
      <c r="I364" s="17"/>
      <c r="J364" s="17"/>
    </row>
    <row r="365" ht="10.95" customHeight="true" customFormat="true" s="8">
      <c r="A365" s="9">
        <v>46078</v>
      </c>
      <c r="B365" s="10" t="s">
        <v>36</v>
      </c>
      <c r="C365" s="10" t="s">
        <v>415</v>
      </c>
      <c r="D365" s="10" t="s">
        <v>416</v>
      </c>
      <c r="E365" s="10" t="s">
        <v>16</v>
      </c>
      <c r="F365" s="11">
        <v>0</v>
      </c>
      <c r="G365" s="11">
        <v>12994.8000</v>
      </c>
      <c r="H365" s="11">
        <v>0</v>
      </c>
      <c r="I365" s="11">
        <v>12994.8000</v>
      </c>
      <c r="J365" s="10" t="s">
        <v>46</v>
      </c>
    </row>
    <row r="366" ht="10.95" customHeight="true" customFormat="true" s="8">
      <c r="A366" s="12">
        <v>46132</v>
      </c>
      <c r="B366" s="13" t="s">
        <v>36</v>
      </c>
      <c r="C366" s="13" t="s">
        <v>417</v>
      </c>
      <c r="D366" s="13" t="s">
        <v>418</v>
      </c>
      <c r="E366" s="13" t="s">
        <v>16</v>
      </c>
      <c r="F366" s="14">
        <v>0</v>
      </c>
      <c r="G366" s="14">
        <v>12994.8000</v>
      </c>
      <c r="H366" s="14">
        <v>0</v>
      </c>
      <c r="I366" s="14">
        <v>12994.8000</v>
      </c>
      <c r="J366" s="13" t="s">
        <v>46</v>
      </c>
    </row>
    <row r="367" ht="10.95" customHeight="true" customFormat="true" s="8">
      <c r="A367" s="15" t="s">
        <v>419</v>
      </c>
      <c r="B367" s="15"/>
      <c r="C367" s="15"/>
      <c r="D367" s="15"/>
      <c r="E367" s="15"/>
      <c r="F367" s="16">
        <f ca="1">SUM(F365:F366)</f>
        <v>0</v>
      </c>
      <c r="G367" s="16">
        <f ca="1">SUM(G365:G366)</f>
        <v>0</v>
      </c>
      <c r="H367" s="16">
        <f ca="1">SUM(H365:H366)</f>
        <v>0</v>
      </c>
      <c r="I367" s="16">
        <f ca="1">SUM(I365:I366)</f>
        <v>0</v>
      </c>
      <c r="J367" s="15"/>
    </row>
    <row r="368" ht="13.35" customHeight="true"/>
    <row r="369" ht="12.1" customHeight="true" customFormat="true" s="5">
      <c r="A369" s="17" t="s">
        <v>420</v>
      </c>
      <c r="B369" s="17"/>
      <c r="C369" s="17"/>
      <c r="D369" s="17"/>
      <c r="E369" s="17"/>
      <c r="F369" s="17"/>
      <c r="G369" s="17"/>
      <c r="H369" s="17"/>
      <c r="I369" s="17"/>
      <c r="J369" s="17"/>
    </row>
    <row r="370" ht="10.95" customHeight="true" customFormat="true" s="8">
      <c r="A370" s="9">
        <v>46125</v>
      </c>
      <c r="B370" s="10" t="s">
        <v>36</v>
      </c>
      <c r="C370" s="10" t="s">
        <v>421</v>
      </c>
      <c r="D370" s="10" t="s">
        <v>422</v>
      </c>
      <c r="E370" s="10" t="s">
        <v>16</v>
      </c>
      <c r="F370" s="11">
        <v>0</v>
      </c>
      <c r="G370" s="11">
        <v>28284.0000</v>
      </c>
      <c r="H370" s="11">
        <v>0</v>
      </c>
      <c r="I370" s="11">
        <v>28284.0000</v>
      </c>
      <c r="J370" s="10" t="s">
        <v>46</v>
      </c>
    </row>
    <row r="371" ht="10.95" customHeight="true" customFormat="true" s="8">
      <c r="A371" s="15" t="s">
        <v>423</v>
      </c>
      <c r="B371" s="15"/>
      <c r="C371" s="15"/>
      <c r="D371" s="15"/>
      <c r="E371" s="15"/>
      <c r="F371" s="16">
        <f ca="1">F370</f>
        <v>0</v>
      </c>
      <c r="G371" s="16">
        <f ca="1">G370</f>
        <v>0</v>
      </c>
      <c r="H371" s="16">
        <f ca="1">H370</f>
        <v>0</v>
      </c>
      <c r="I371" s="16">
        <f ca="1">I370</f>
        <v>0</v>
      </c>
      <c r="J371" s="15"/>
    </row>
    <row r="372" ht="13.35" customHeight="true"/>
    <row r="373" ht="12.1" customHeight="true" customFormat="true" s="5">
      <c r="A373" s="17" t="s">
        <v>424</v>
      </c>
      <c r="B373" s="17"/>
      <c r="C373" s="17"/>
      <c r="D373" s="17"/>
      <c r="E373" s="17"/>
      <c r="F373" s="17"/>
      <c r="G373" s="17"/>
      <c r="H373" s="17"/>
      <c r="I373" s="17"/>
      <c r="J373" s="17"/>
    </row>
    <row r="374" ht="10.95" customHeight="true" customFormat="true" s="8">
      <c r="A374" s="9">
        <v>45699</v>
      </c>
      <c r="B374" s="10" t="s">
        <v>36</v>
      </c>
      <c r="C374" s="10" t="s">
        <v>425</v>
      </c>
      <c r="D374" s="10" t="s">
        <v>426</v>
      </c>
      <c r="E374" s="10" t="s">
        <v>16</v>
      </c>
      <c r="F374" s="11">
        <v>0</v>
      </c>
      <c r="G374" s="11">
        <v>32153.8000</v>
      </c>
      <c r="H374" s="11">
        <v>0</v>
      </c>
      <c r="I374" s="11">
        <v>32153.8000</v>
      </c>
      <c r="J374" s="10" t="s">
        <v>138</v>
      </c>
    </row>
    <row r="375" ht="10.95" customHeight="true" customFormat="true" s="8">
      <c r="A375" s="12">
        <v>45699</v>
      </c>
      <c r="B375" s="13" t="s">
        <v>36</v>
      </c>
      <c r="C375" s="13" t="s">
        <v>427</v>
      </c>
      <c r="D375" s="13" t="s">
        <v>426</v>
      </c>
      <c r="E375" s="13" t="s">
        <v>16</v>
      </c>
      <c r="F375" s="14">
        <v>0</v>
      </c>
      <c r="G375" s="14">
        <v>8150.0000</v>
      </c>
      <c r="H375" s="14">
        <v>0</v>
      </c>
      <c r="I375" s="14">
        <v>8150.0000</v>
      </c>
      <c r="J375" s="13" t="s">
        <v>140</v>
      </c>
    </row>
    <row r="376" ht="10.95" customHeight="true" customFormat="true" s="8">
      <c r="A376" s="12">
        <v>45699</v>
      </c>
      <c r="B376" s="13" t="s">
        <v>36</v>
      </c>
      <c r="C376" s="13" t="s">
        <v>428</v>
      </c>
      <c r="D376" s="13" t="s">
        <v>426</v>
      </c>
      <c r="E376" s="13" t="s">
        <v>16</v>
      </c>
      <c r="F376" s="14">
        <v>0</v>
      </c>
      <c r="G376" s="14">
        <v>3000.0000</v>
      </c>
      <c r="H376" s="14">
        <v>0</v>
      </c>
      <c r="I376" s="14">
        <v>3000.0000</v>
      </c>
      <c r="J376" s="13" t="s">
        <v>24</v>
      </c>
    </row>
    <row r="377" ht="10.95" customHeight="true" customFormat="true" s="8">
      <c r="A377" s="12">
        <v>45699</v>
      </c>
      <c r="B377" s="13" t="s">
        <v>36</v>
      </c>
      <c r="C377" s="13" t="s">
        <v>429</v>
      </c>
      <c r="D377" s="13" t="s">
        <v>426</v>
      </c>
      <c r="E377" s="13" t="s">
        <v>16</v>
      </c>
      <c r="F377" s="14">
        <v>0</v>
      </c>
      <c r="G377" s="14">
        <v>3200.0000</v>
      </c>
      <c r="H377" s="14">
        <v>0</v>
      </c>
      <c r="I377" s="14">
        <v>3200.0000</v>
      </c>
      <c r="J377" s="13" t="s">
        <v>430</v>
      </c>
    </row>
    <row r="378" ht="10.95" customHeight="true" customFormat="true" s="8">
      <c r="A378" s="15" t="s">
        <v>431</v>
      </c>
      <c r="B378" s="15"/>
      <c r="C378" s="15"/>
      <c r="D378" s="15"/>
      <c r="E378" s="15"/>
      <c r="F378" s="16">
        <f ca="1">SUM(F374:F377)</f>
        <v>0</v>
      </c>
      <c r="G378" s="16">
        <f ca="1">SUM(G374:G377)</f>
        <v>0</v>
      </c>
      <c r="H378" s="16">
        <f ca="1">SUM(H374:H377)</f>
        <v>0</v>
      </c>
      <c r="I378" s="16">
        <f ca="1">SUM(I374:I377)</f>
        <v>0</v>
      </c>
      <c r="J378" s="15"/>
    </row>
    <row r="379" ht="13.35" customHeight="true"/>
    <row r="380" ht="12.1" customHeight="true" customFormat="true" s="5">
      <c r="A380" s="17" t="s">
        <v>432</v>
      </c>
      <c r="B380" s="17"/>
      <c r="C380" s="17"/>
      <c r="D380" s="17"/>
      <c r="E380" s="17"/>
      <c r="F380" s="17"/>
      <c r="G380" s="17"/>
      <c r="H380" s="17"/>
      <c r="I380" s="17"/>
      <c r="J380" s="17"/>
    </row>
    <row r="381" ht="10.95" customHeight="true" customFormat="true" s="8">
      <c r="A381" s="9">
        <v>45845</v>
      </c>
      <c r="B381" s="10" t="s">
        <v>36</v>
      </c>
      <c r="C381" s="10" t="s">
        <v>433</v>
      </c>
      <c r="D381" s="10" t="s">
        <v>434</v>
      </c>
      <c r="E381" s="10" t="s">
        <v>16</v>
      </c>
      <c r="F381" s="11">
        <v>0</v>
      </c>
      <c r="G381" s="11">
        <v>5513.0800</v>
      </c>
      <c r="H381" s="11">
        <v>0</v>
      </c>
      <c r="I381" s="11">
        <v>5513.0800</v>
      </c>
      <c r="J381" s="10" t="s">
        <v>46</v>
      </c>
    </row>
    <row r="382" ht="10.95" customHeight="true" customFormat="true" s="8">
      <c r="A382" s="12">
        <v>45845</v>
      </c>
      <c r="B382" s="13" t="s">
        <v>36</v>
      </c>
      <c r="C382" s="13" t="s">
        <v>435</v>
      </c>
      <c r="D382" s="13" t="s">
        <v>434</v>
      </c>
      <c r="E382" s="13" t="s">
        <v>16</v>
      </c>
      <c r="F382" s="14">
        <v>0</v>
      </c>
      <c r="G382" s="14">
        <v>735.2300</v>
      </c>
      <c r="H382" s="14">
        <v>0</v>
      </c>
      <c r="I382" s="14">
        <v>735.2300</v>
      </c>
      <c r="J382" s="13" t="s">
        <v>46</v>
      </c>
    </row>
    <row r="383" ht="10.95" customHeight="true" customFormat="true" s="8">
      <c r="A383" s="12">
        <v>45845</v>
      </c>
      <c r="B383" s="13" t="s">
        <v>36</v>
      </c>
      <c r="C383" s="13" t="s">
        <v>436</v>
      </c>
      <c r="D383" s="13" t="s">
        <v>434</v>
      </c>
      <c r="E383" s="13" t="s">
        <v>16</v>
      </c>
      <c r="F383" s="14">
        <v>0</v>
      </c>
      <c r="G383" s="14">
        <v>2058.4200</v>
      </c>
      <c r="H383" s="14">
        <v>0</v>
      </c>
      <c r="I383" s="14">
        <v>2058.4200</v>
      </c>
      <c r="J383" s="13" t="s">
        <v>46</v>
      </c>
    </row>
    <row r="384" ht="10.95" customHeight="true" customFormat="true" s="8">
      <c r="A384" s="12">
        <v>45950</v>
      </c>
      <c r="B384" s="13" t="s">
        <v>36</v>
      </c>
      <c r="C384" s="13" t="s">
        <v>437</v>
      </c>
      <c r="D384" s="13" t="s">
        <v>438</v>
      </c>
      <c r="E384" s="13" t="s">
        <v>16</v>
      </c>
      <c r="F384" s="14">
        <v>0</v>
      </c>
      <c r="G384" s="14">
        <v>1863.5300</v>
      </c>
      <c r="H384" s="14">
        <v>0</v>
      </c>
      <c r="I384" s="14">
        <v>1863.5300</v>
      </c>
      <c r="J384" s="13" t="s">
        <v>46</v>
      </c>
    </row>
    <row r="385" ht="10.95" customHeight="true" customFormat="true" s="8">
      <c r="A385" s="12">
        <v>45950</v>
      </c>
      <c r="B385" s="13" t="s">
        <v>36</v>
      </c>
      <c r="C385" s="13" t="s">
        <v>439</v>
      </c>
      <c r="D385" s="13" t="s">
        <v>438</v>
      </c>
      <c r="E385" s="13" t="s">
        <v>16</v>
      </c>
      <c r="F385" s="14">
        <v>0</v>
      </c>
      <c r="G385" s="14">
        <v>2160.9700</v>
      </c>
      <c r="H385" s="14">
        <v>0</v>
      </c>
      <c r="I385" s="14">
        <v>2160.9700</v>
      </c>
      <c r="J385" s="13" t="s">
        <v>46</v>
      </c>
    </row>
    <row r="386" ht="10.95" customHeight="true" customFormat="true" s="8">
      <c r="A386" s="12">
        <v>45950</v>
      </c>
      <c r="B386" s="13" t="s">
        <v>36</v>
      </c>
      <c r="C386" s="13" t="s">
        <v>436</v>
      </c>
      <c r="D386" s="13" t="s">
        <v>438</v>
      </c>
      <c r="E386" s="13" t="s">
        <v>16</v>
      </c>
      <c r="F386" s="14">
        <v>0</v>
      </c>
      <c r="G386" s="14">
        <v>2086.9200</v>
      </c>
      <c r="H386" s="14">
        <v>0</v>
      </c>
      <c r="I386" s="14">
        <v>2086.9200</v>
      </c>
      <c r="J386" s="13" t="s">
        <v>46</v>
      </c>
    </row>
    <row r="387" ht="10.95" customHeight="true" customFormat="true" s="8">
      <c r="A387" s="12">
        <v>45950</v>
      </c>
      <c r="B387" s="13" t="s">
        <v>36</v>
      </c>
      <c r="C387" s="13" t="s">
        <v>435</v>
      </c>
      <c r="D387" s="13" t="s">
        <v>438</v>
      </c>
      <c r="E387" s="13" t="s">
        <v>16</v>
      </c>
      <c r="F387" s="14">
        <v>0</v>
      </c>
      <c r="G387" s="14">
        <v>745.4100</v>
      </c>
      <c r="H387" s="14">
        <v>0</v>
      </c>
      <c r="I387" s="14">
        <v>745.4100</v>
      </c>
      <c r="J387" s="13" t="s">
        <v>46</v>
      </c>
    </row>
    <row r="388" ht="10.95" customHeight="true" customFormat="true" s="8">
      <c r="A388" s="15" t="s">
        <v>440</v>
      </c>
      <c r="B388" s="15"/>
      <c r="C388" s="15"/>
      <c r="D388" s="15"/>
      <c r="E388" s="15"/>
      <c r="F388" s="16">
        <f ca="1">SUM(F381:F387)</f>
        <v>0</v>
      </c>
      <c r="G388" s="16">
        <f ca="1">SUM(G381:G387)</f>
        <v>0</v>
      </c>
      <c r="H388" s="16">
        <f ca="1">SUM(H381:H387)</f>
        <v>0</v>
      </c>
      <c r="I388" s="16">
        <f ca="1">SUM(I381:I387)</f>
        <v>0</v>
      </c>
      <c r="J388" s="15"/>
    </row>
    <row r="389" ht="13.35" customHeight="true"/>
    <row r="390" ht="12.1" customHeight="true" customFormat="true" s="5">
      <c r="A390" s="17" t="s">
        <v>441</v>
      </c>
      <c r="B390" s="17"/>
      <c r="C390" s="17"/>
      <c r="D390" s="17"/>
      <c r="E390" s="17"/>
      <c r="F390" s="17"/>
      <c r="G390" s="17"/>
      <c r="H390" s="17"/>
      <c r="I390" s="17"/>
      <c r="J390" s="17"/>
    </row>
    <row r="391" ht="10.95" customHeight="true" customFormat="true" s="8">
      <c r="A391" s="9">
        <v>45323</v>
      </c>
      <c r="B391" s="10" t="s">
        <v>122</v>
      </c>
      <c r="C391" s="10" t="s">
        <v>442</v>
      </c>
      <c r="D391" s="10" t="s">
        <v>443</v>
      </c>
      <c r="E391" s="10" t="s">
        <v>16</v>
      </c>
      <c r="F391" s="11">
        <v>1187.5500</v>
      </c>
      <c r="G391" s="11">
        <v>0</v>
      </c>
      <c r="H391" s="11">
        <v>1187.5500</v>
      </c>
      <c r="I391" s="11">
        <v>0</v>
      </c>
      <c r="J391" s="10" t="s">
        <v>18</v>
      </c>
    </row>
    <row r="392" ht="10.95" customHeight="true" customFormat="true" s="8">
      <c r="A392" s="12">
        <v>45406</v>
      </c>
      <c r="B392" s="13" t="s">
        <v>122</v>
      </c>
      <c r="C392" s="13" t="s">
        <v>444</v>
      </c>
      <c r="D392" s="13" t="s">
        <v>445</v>
      </c>
      <c r="E392" s="13" t="s">
        <v>16</v>
      </c>
      <c r="F392" s="14">
        <v>3561.8700</v>
      </c>
      <c r="G392" s="14">
        <v>0</v>
      </c>
      <c r="H392" s="14">
        <v>3561.8700</v>
      </c>
      <c r="I392" s="14">
        <v>0</v>
      </c>
      <c r="J392" s="13" t="s">
        <v>18</v>
      </c>
    </row>
    <row r="393" ht="10.95" customHeight="true" customFormat="true" s="8">
      <c r="A393" s="12">
        <v>45406</v>
      </c>
      <c r="B393" s="13" t="s">
        <v>122</v>
      </c>
      <c r="C393" s="13" t="s">
        <v>446</v>
      </c>
      <c r="D393" s="13" t="s">
        <v>447</v>
      </c>
      <c r="E393" s="13" t="s">
        <v>16</v>
      </c>
      <c r="F393" s="14">
        <v>1147.7700</v>
      </c>
      <c r="G393" s="14">
        <v>0</v>
      </c>
      <c r="H393" s="14">
        <v>1147.7700</v>
      </c>
      <c r="I393" s="14">
        <v>0</v>
      </c>
      <c r="J393" s="13" t="s">
        <v>18</v>
      </c>
    </row>
    <row r="394" ht="10.95" customHeight="true" customFormat="true" s="8">
      <c r="A394" s="12">
        <v>45527</v>
      </c>
      <c r="B394" s="13" t="s">
        <v>122</v>
      </c>
      <c r="C394" s="13" t="s">
        <v>448</v>
      </c>
      <c r="D394" s="13" t="s">
        <v>449</v>
      </c>
      <c r="E394" s="13" t="s">
        <v>16</v>
      </c>
      <c r="F394" s="14">
        <v>356.4600</v>
      </c>
      <c r="G394" s="14">
        <v>0</v>
      </c>
      <c r="H394" s="14">
        <v>356.4600</v>
      </c>
      <c r="I394" s="14">
        <v>0</v>
      </c>
      <c r="J394" s="13" t="s">
        <v>18</v>
      </c>
    </row>
    <row r="395" ht="10.95" customHeight="true" customFormat="true" s="8">
      <c r="A395" s="12">
        <v>45567</v>
      </c>
      <c r="B395" s="13" t="s">
        <v>122</v>
      </c>
      <c r="C395" s="13" t="s">
        <v>450</v>
      </c>
      <c r="D395" s="13" t="s">
        <v>451</v>
      </c>
      <c r="E395" s="13" t="s">
        <v>16</v>
      </c>
      <c r="F395" s="14">
        <v>1652.8200</v>
      </c>
      <c r="G395" s="14">
        <v>0</v>
      </c>
      <c r="H395" s="14">
        <v>1652.8200</v>
      </c>
      <c r="I395" s="14">
        <v>0</v>
      </c>
      <c r="J395" s="13" t="s">
        <v>20</v>
      </c>
    </row>
    <row r="396" ht="10.95" customHeight="true" customFormat="true" s="8">
      <c r="A396" s="12">
        <v>45589</v>
      </c>
      <c r="B396" s="13" t="s">
        <v>122</v>
      </c>
      <c r="C396" s="13" t="s">
        <v>452</v>
      </c>
      <c r="D396" s="13" t="s">
        <v>453</v>
      </c>
      <c r="E396" s="13" t="s">
        <v>16</v>
      </c>
      <c r="F396" s="14">
        <v>2479.2300</v>
      </c>
      <c r="G396" s="14">
        <v>0</v>
      </c>
      <c r="H396" s="14">
        <v>2479.2300</v>
      </c>
      <c r="I396" s="14">
        <v>0</v>
      </c>
      <c r="J396" s="13" t="s">
        <v>20</v>
      </c>
    </row>
    <row r="397" ht="10.95" customHeight="true" customFormat="true" s="8">
      <c r="A397" s="12">
        <v>45727</v>
      </c>
      <c r="B397" s="13" t="s">
        <v>122</v>
      </c>
      <c r="C397" s="13" t="s">
        <v>442</v>
      </c>
      <c r="D397" s="13" t="s">
        <v>454</v>
      </c>
      <c r="E397" s="13" t="s">
        <v>16</v>
      </c>
      <c r="F397" s="14">
        <v>1187.5500</v>
      </c>
      <c r="G397" s="14">
        <v>0</v>
      </c>
      <c r="H397" s="14">
        <v>1187.5500</v>
      </c>
      <c r="I397" s="14">
        <v>0</v>
      </c>
      <c r="J397" s="13" t="s">
        <v>18</v>
      </c>
    </row>
    <row r="398" ht="10.95" customHeight="true" customFormat="true" s="8">
      <c r="A398" s="12">
        <v>45777</v>
      </c>
      <c r="B398" s="13" t="s">
        <v>122</v>
      </c>
      <c r="C398" s="13" t="s">
        <v>455</v>
      </c>
      <c r="D398" s="13" t="s">
        <v>456</v>
      </c>
      <c r="E398" s="13" t="s">
        <v>16</v>
      </c>
      <c r="F398" s="14">
        <v>12035.0000</v>
      </c>
      <c r="G398" s="14">
        <v>0</v>
      </c>
      <c r="H398" s="14">
        <v>12035.0000</v>
      </c>
      <c r="I398" s="14">
        <v>0</v>
      </c>
      <c r="J398" s="13" t="s">
        <v>23</v>
      </c>
    </row>
    <row r="399" ht="10.95" customHeight="true" customFormat="true" s="8">
      <c r="A399" s="12">
        <v>45786</v>
      </c>
      <c r="B399" s="13" t="s">
        <v>122</v>
      </c>
      <c r="C399" s="13" t="s">
        <v>457</v>
      </c>
      <c r="D399" s="13" t="s">
        <v>458</v>
      </c>
      <c r="E399" s="13" t="s">
        <v>16</v>
      </c>
      <c r="F399" s="14">
        <v>4102.3300</v>
      </c>
      <c r="G399" s="14">
        <v>0</v>
      </c>
      <c r="H399" s="14">
        <v>4102.3300</v>
      </c>
      <c r="I399" s="14">
        <v>0</v>
      </c>
      <c r="J399" s="13" t="s">
        <v>20</v>
      </c>
    </row>
    <row r="400" ht="10.95" customHeight="true" customFormat="true" s="8">
      <c r="A400" s="12">
        <v>45848</v>
      </c>
      <c r="B400" s="13" t="s">
        <v>122</v>
      </c>
      <c r="C400" s="13" t="s">
        <v>459</v>
      </c>
      <c r="D400" s="13" t="s">
        <v>460</v>
      </c>
      <c r="E400" s="13" t="s">
        <v>16</v>
      </c>
      <c r="F400" s="14">
        <v>1515.1500</v>
      </c>
      <c r="G400" s="14">
        <v>0</v>
      </c>
      <c r="H400" s="14">
        <v>1515.1500</v>
      </c>
      <c r="I400" s="14">
        <v>0</v>
      </c>
      <c r="J400" s="13" t="s">
        <v>20</v>
      </c>
    </row>
    <row r="401" ht="10.95" customHeight="true" customFormat="true" s="8">
      <c r="A401" s="12">
        <v>46028</v>
      </c>
      <c r="B401" s="13" t="s">
        <v>122</v>
      </c>
      <c r="C401" s="13" t="s">
        <v>461</v>
      </c>
      <c r="D401" s="13" t="s">
        <v>462</v>
      </c>
      <c r="E401" s="13" t="s">
        <v>16</v>
      </c>
      <c r="F401" s="14">
        <v>1877.1700</v>
      </c>
      <c r="G401" s="14">
        <v>0</v>
      </c>
      <c r="H401" s="14">
        <v>1877.1700</v>
      </c>
      <c r="I401" s="14">
        <v>0</v>
      </c>
      <c r="J401" s="13" t="s">
        <v>27</v>
      </c>
    </row>
    <row r="402" ht="10.95" customHeight="true" customFormat="true" s="8">
      <c r="A402" s="15" t="s">
        <v>463</v>
      </c>
      <c r="B402" s="15"/>
      <c r="C402" s="15"/>
      <c r="D402" s="15"/>
      <c r="E402" s="15"/>
      <c r="F402" s="16">
        <f ca="1">SUM(F391:F401)</f>
        <v>0</v>
      </c>
      <c r="G402" s="16">
        <f ca="1">SUM(G391:G401)</f>
        <v>0</v>
      </c>
      <c r="H402" s="16">
        <f ca="1">SUM(H391:H401)</f>
        <v>0</v>
      </c>
      <c r="I402" s="16">
        <f ca="1">SUM(I391:I401)</f>
        <v>0</v>
      </c>
      <c r="J402" s="15"/>
    </row>
    <row r="403" ht="13.35" customHeight="true"/>
    <row r="404" ht="12.1" customHeight="true" customFormat="true" s="5">
      <c r="A404" s="17" t="s">
        <v>464</v>
      </c>
      <c r="B404" s="17"/>
      <c r="C404" s="17"/>
      <c r="D404" s="17"/>
      <c r="E404" s="17"/>
      <c r="F404" s="17"/>
      <c r="G404" s="17"/>
      <c r="H404" s="17"/>
      <c r="I404" s="17"/>
      <c r="J404" s="17"/>
    </row>
    <row r="405" ht="10.95" customHeight="true" customFormat="true" s="8">
      <c r="A405" s="9">
        <v>45476</v>
      </c>
      <c r="B405" s="10" t="s">
        <v>36</v>
      </c>
      <c r="C405" s="10" t="s">
        <v>465</v>
      </c>
      <c r="D405" s="10" t="s">
        <v>466</v>
      </c>
      <c r="E405" s="10" t="s">
        <v>16</v>
      </c>
      <c r="F405" s="11">
        <v>0</v>
      </c>
      <c r="G405" s="11">
        <v>548.4000</v>
      </c>
      <c r="H405" s="11">
        <v>0</v>
      </c>
      <c r="I405" s="11">
        <v>548.4000</v>
      </c>
      <c r="J405" s="10" t="s">
        <v>46</v>
      </c>
    </row>
    <row r="406" ht="10.95" customHeight="true" customFormat="true" s="8">
      <c r="A406" s="15" t="s">
        <v>467</v>
      </c>
      <c r="B406" s="15"/>
      <c r="C406" s="15"/>
      <c r="D406" s="15"/>
      <c r="E406" s="15"/>
      <c r="F406" s="16">
        <f ca="1">F405</f>
        <v>0</v>
      </c>
      <c r="G406" s="16">
        <f ca="1">G405</f>
        <v>0</v>
      </c>
      <c r="H406" s="16">
        <f ca="1">H405</f>
        <v>0</v>
      </c>
      <c r="I406" s="16">
        <f ca="1">I405</f>
        <v>0</v>
      </c>
      <c r="J406" s="15"/>
    </row>
    <row r="407" ht="13.35" customHeight="true"/>
    <row r="408" ht="12.1" customHeight="true" customFormat="true" s="5">
      <c r="A408" s="17" t="s">
        <v>468</v>
      </c>
      <c r="B408" s="17"/>
      <c r="C408" s="17"/>
      <c r="D408" s="17"/>
      <c r="E408" s="17"/>
      <c r="F408" s="17"/>
      <c r="G408" s="17"/>
      <c r="H408" s="17"/>
      <c r="I408" s="17"/>
      <c r="J408" s="17"/>
    </row>
    <row r="409" ht="10.95" customHeight="true" customFormat="true" s="8">
      <c r="A409" s="9">
        <v>46111</v>
      </c>
      <c r="B409" s="10" t="s">
        <v>411</v>
      </c>
      <c r="C409" s="10" t="s">
        <v>468</v>
      </c>
      <c r="D409" s="10"/>
      <c r="E409" s="10" t="s">
        <v>16</v>
      </c>
      <c r="F409" s="11">
        <v>0</v>
      </c>
      <c r="G409" s="11">
        <v>70.0000</v>
      </c>
      <c r="H409" s="11">
        <v>0</v>
      </c>
      <c r="I409" s="11">
        <v>70.0000</v>
      </c>
      <c r="J409" s="10" t="s">
        <v>27</v>
      </c>
    </row>
    <row r="410" ht="10.95" customHeight="true" customFormat="true" s="8">
      <c r="A410" s="15" t="s">
        <v>469</v>
      </c>
      <c r="B410" s="15"/>
      <c r="C410" s="15"/>
      <c r="D410" s="15"/>
      <c r="E410" s="15"/>
      <c r="F410" s="16">
        <f ca="1">F409</f>
        <v>0</v>
      </c>
      <c r="G410" s="16">
        <f ca="1">G409</f>
        <v>0</v>
      </c>
      <c r="H410" s="16">
        <f ca="1">H409</f>
        <v>0</v>
      </c>
      <c r="I410" s="16">
        <f ca="1">I409</f>
        <v>0</v>
      </c>
      <c r="J410" s="15"/>
    </row>
    <row r="411" ht="13.35" customHeight="true"/>
    <row r="412" ht="12.1" customHeight="true" customFormat="true" s="5">
      <c r="A412" s="17" t="s">
        <v>470</v>
      </c>
      <c r="B412" s="17"/>
      <c r="C412" s="17"/>
      <c r="D412" s="17"/>
      <c r="E412" s="17"/>
      <c r="F412" s="17"/>
      <c r="G412" s="17"/>
      <c r="H412" s="17"/>
      <c r="I412" s="17"/>
      <c r="J412" s="17"/>
    </row>
    <row r="413" ht="10.95" customHeight="true" customFormat="true" s="8">
      <c r="A413" s="9">
        <v>45834</v>
      </c>
      <c r="B413" s="10" t="s">
        <v>36</v>
      </c>
      <c r="C413" s="10" t="s">
        <v>471</v>
      </c>
      <c r="D413" s="10" t="s">
        <v>472</v>
      </c>
      <c r="E413" s="10" t="s">
        <v>16</v>
      </c>
      <c r="F413" s="11">
        <v>0</v>
      </c>
      <c r="G413" s="11">
        <v>407.3600</v>
      </c>
      <c r="H413" s="11">
        <v>0</v>
      </c>
      <c r="I413" s="11">
        <v>407.3600</v>
      </c>
      <c r="J413" s="10" t="s">
        <v>46</v>
      </c>
    </row>
    <row r="414" ht="10.95" customHeight="true" customFormat="true" s="8">
      <c r="A414" s="12">
        <v>45834</v>
      </c>
      <c r="B414" s="13" t="s">
        <v>36</v>
      </c>
      <c r="C414" s="13" t="s">
        <v>473</v>
      </c>
      <c r="D414" s="13" t="s">
        <v>472</v>
      </c>
      <c r="E414" s="13" t="s">
        <v>16</v>
      </c>
      <c r="F414" s="14">
        <v>0</v>
      </c>
      <c r="G414" s="14">
        <v>103.2100</v>
      </c>
      <c r="H414" s="14">
        <v>0</v>
      </c>
      <c r="I414" s="14">
        <v>103.2100</v>
      </c>
      <c r="J414" s="13" t="s">
        <v>46</v>
      </c>
    </row>
    <row r="415" ht="10.95" customHeight="true" customFormat="true" s="8">
      <c r="A415" s="15" t="s">
        <v>474</v>
      </c>
      <c r="B415" s="15"/>
      <c r="C415" s="15"/>
      <c r="D415" s="15"/>
      <c r="E415" s="15"/>
      <c r="F415" s="16">
        <f ca="1">SUM(F413:F414)</f>
        <v>0</v>
      </c>
      <c r="G415" s="16">
        <f ca="1">SUM(G413:G414)</f>
        <v>0</v>
      </c>
      <c r="H415" s="16">
        <f ca="1">SUM(H413:H414)</f>
        <v>0</v>
      </c>
      <c r="I415" s="16">
        <f ca="1">SUM(I413:I414)</f>
        <v>0</v>
      </c>
      <c r="J415" s="15"/>
    </row>
    <row r="416" ht="13.35" customHeight="true"/>
    <row r="417" ht="12.1" customHeight="true" customFormat="true" s="5">
      <c r="A417" s="17" t="s">
        <v>475</v>
      </c>
      <c r="B417" s="17"/>
      <c r="C417" s="17"/>
      <c r="D417" s="17"/>
      <c r="E417" s="17"/>
      <c r="F417" s="17"/>
      <c r="G417" s="17"/>
      <c r="H417" s="17"/>
      <c r="I417" s="17"/>
      <c r="J417" s="17"/>
    </row>
    <row r="418" ht="10.95" customHeight="true" customFormat="true" s="8">
      <c r="A418" s="9">
        <v>45377</v>
      </c>
      <c r="B418" s="10" t="s">
        <v>36</v>
      </c>
      <c r="C418" s="10" t="s">
        <v>476</v>
      </c>
      <c r="D418" s="10" t="s">
        <v>477</v>
      </c>
      <c r="E418" s="10" t="s">
        <v>16</v>
      </c>
      <c r="F418" s="11">
        <v>0</v>
      </c>
      <c r="G418" s="11">
        <v>255.0400</v>
      </c>
      <c r="H418" s="11">
        <v>0</v>
      </c>
      <c r="I418" s="11">
        <v>255.0400</v>
      </c>
      <c r="J418" s="10" t="s">
        <v>41</v>
      </c>
    </row>
    <row r="419" ht="10.95" customHeight="true" customFormat="true" s="8">
      <c r="A419" s="12">
        <v>45989</v>
      </c>
      <c r="B419" s="13" t="s">
        <v>36</v>
      </c>
      <c r="C419" s="13" t="s">
        <v>478</v>
      </c>
      <c r="D419" s="13" t="s">
        <v>479</v>
      </c>
      <c r="E419" s="13" t="s">
        <v>16</v>
      </c>
      <c r="F419" s="14">
        <v>0</v>
      </c>
      <c r="G419" s="14">
        <v>2163.5300</v>
      </c>
      <c r="H419" s="14">
        <v>0</v>
      </c>
      <c r="I419" s="14">
        <v>2163.5300</v>
      </c>
      <c r="J419" s="13" t="s">
        <v>46</v>
      </c>
    </row>
    <row r="420" ht="10.95" customHeight="true" customFormat="true" s="8">
      <c r="A420" s="12">
        <v>46007</v>
      </c>
      <c r="B420" s="13" t="s">
        <v>36</v>
      </c>
      <c r="C420" s="13" t="s">
        <v>480</v>
      </c>
      <c r="D420" s="13" t="s">
        <v>481</v>
      </c>
      <c r="E420" s="13" t="s">
        <v>16</v>
      </c>
      <c r="F420" s="14">
        <v>0</v>
      </c>
      <c r="G420" s="14">
        <v>3366.0000</v>
      </c>
      <c r="H420" s="14">
        <v>0</v>
      </c>
      <c r="I420" s="14">
        <v>3366.0000</v>
      </c>
      <c r="J420" s="13" t="s">
        <v>46</v>
      </c>
    </row>
    <row r="421" ht="10.95" customHeight="true" customFormat="true" s="8">
      <c r="A421" s="12">
        <v>46007</v>
      </c>
      <c r="B421" s="13" t="s">
        <v>36</v>
      </c>
      <c r="C421" s="13" t="s">
        <v>482</v>
      </c>
      <c r="D421" s="13" t="s">
        <v>481</v>
      </c>
      <c r="E421" s="13" t="s">
        <v>16</v>
      </c>
      <c r="F421" s="14">
        <v>0</v>
      </c>
      <c r="G421" s="14">
        <v>1591.2000</v>
      </c>
      <c r="H421" s="14">
        <v>0</v>
      </c>
      <c r="I421" s="14">
        <v>1591.2000</v>
      </c>
      <c r="J421" s="13" t="s">
        <v>46</v>
      </c>
    </row>
    <row r="422" ht="10.95" customHeight="true" customFormat="true" s="8">
      <c r="A422" s="12">
        <v>46007</v>
      </c>
      <c r="B422" s="13" t="s">
        <v>36</v>
      </c>
      <c r="C422" s="13" t="s">
        <v>483</v>
      </c>
      <c r="D422" s="13" t="s">
        <v>481</v>
      </c>
      <c r="E422" s="13" t="s">
        <v>16</v>
      </c>
      <c r="F422" s="14">
        <v>0</v>
      </c>
      <c r="G422" s="14">
        <v>795.6000</v>
      </c>
      <c r="H422" s="14">
        <v>0</v>
      </c>
      <c r="I422" s="14">
        <v>795.6000</v>
      </c>
      <c r="J422" s="13" t="s">
        <v>46</v>
      </c>
    </row>
    <row r="423" ht="10.95" customHeight="true" customFormat="true" s="8">
      <c r="A423" s="12">
        <v>46007</v>
      </c>
      <c r="B423" s="13" t="s">
        <v>36</v>
      </c>
      <c r="C423" s="13" t="s">
        <v>484</v>
      </c>
      <c r="D423" s="13" t="s">
        <v>481</v>
      </c>
      <c r="E423" s="13" t="s">
        <v>16</v>
      </c>
      <c r="F423" s="14">
        <v>0</v>
      </c>
      <c r="G423" s="14">
        <v>4394.1600</v>
      </c>
      <c r="H423" s="14">
        <v>0</v>
      </c>
      <c r="I423" s="14">
        <v>4394.1600</v>
      </c>
      <c r="J423" s="13" t="s">
        <v>46</v>
      </c>
    </row>
    <row r="424" ht="10.95" customHeight="true" customFormat="true" s="8">
      <c r="A424" s="12">
        <v>46007</v>
      </c>
      <c r="B424" s="13" t="s">
        <v>36</v>
      </c>
      <c r="C424" s="13" t="s">
        <v>485</v>
      </c>
      <c r="D424" s="13" t="s">
        <v>481</v>
      </c>
      <c r="E424" s="13" t="s">
        <v>16</v>
      </c>
      <c r="F424" s="14">
        <v>0</v>
      </c>
      <c r="G424" s="14">
        <v>645.5500</v>
      </c>
      <c r="H424" s="14">
        <v>0</v>
      </c>
      <c r="I424" s="14">
        <v>645.5500</v>
      </c>
      <c r="J424" s="13" t="s">
        <v>46</v>
      </c>
    </row>
    <row r="425" ht="10.95" customHeight="true" customFormat="true" s="8">
      <c r="A425" s="12">
        <v>46007</v>
      </c>
      <c r="B425" s="13" t="s">
        <v>36</v>
      </c>
      <c r="C425" s="13" t="s">
        <v>486</v>
      </c>
      <c r="D425" s="13" t="s">
        <v>481</v>
      </c>
      <c r="E425" s="13" t="s">
        <v>16</v>
      </c>
      <c r="F425" s="14">
        <v>0</v>
      </c>
      <c r="G425" s="14">
        <v>796.3900</v>
      </c>
      <c r="H425" s="14">
        <v>0</v>
      </c>
      <c r="I425" s="14">
        <v>796.3900</v>
      </c>
      <c r="J425" s="13" t="s">
        <v>46</v>
      </c>
    </row>
    <row r="426" ht="10.95" customHeight="true" customFormat="true" s="8">
      <c r="A426" s="12">
        <v>46007</v>
      </c>
      <c r="B426" s="13" t="s">
        <v>36</v>
      </c>
      <c r="C426" s="13" t="s">
        <v>487</v>
      </c>
      <c r="D426" s="13" t="s">
        <v>481</v>
      </c>
      <c r="E426" s="13" t="s">
        <v>16</v>
      </c>
      <c r="F426" s="14">
        <v>0</v>
      </c>
      <c r="G426" s="14">
        <v>2794.3500</v>
      </c>
      <c r="H426" s="14">
        <v>0</v>
      </c>
      <c r="I426" s="14">
        <v>2794.3500</v>
      </c>
      <c r="J426" s="13" t="s">
        <v>46</v>
      </c>
    </row>
    <row r="427" ht="10.95" customHeight="true" customFormat="true" s="8">
      <c r="A427" s="12">
        <v>46007</v>
      </c>
      <c r="B427" s="13" t="s">
        <v>36</v>
      </c>
      <c r="C427" s="13" t="s">
        <v>488</v>
      </c>
      <c r="D427" s="13" t="s">
        <v>481</v>
      </c>
      <c r="E427" s="13" t="s">
        <v>16</v>
      </c>
      <c r="F427" s="14">
        <v>0</v>
      </c>
      <c r="G427" s="14">
        <v>1130.1200</v>
      </c>
      <c r="H427" s="14">
        <v>0</v>
      </c>
      <c r="I427" s="14">
        <v>1130.1200</v>
      </c>
      <c r="J427" s="13" t="s">
        <v>46</v>
      </c>
    </row>
    <row r="428" ht="10.95" customHeight="true" customFormat="true" s="8">
      <c r="A428" s="12">
        <v>46007</v>
      </c>
      <c r="B428" s="13" t="s">
        <v>36</v>
      </c>
      <c r="C428" s="13" t="s">
        <v>489</v>
      </c>
      <c r="D428" s="13" t="s">
        <v>481</v>
      </c>
      <c r="E428" s="13" t="s">
        <v>16</v>
      </c>
      <c r="F428" s="14">
        <v>0</v>
      </c>
      <c r="G428" s="14">
        <v>854.2300</v>
      </c>
      <c r="H428" s="14">
        <v>0</v>
      </c>
      <c r="I428" s="14">
        <v>854.2300</v>
      </c>
      <c r="J428" s="13" t="s">
        <v>46</v>
      </c>
    </row>
    <row r="429" ht="10.95" customHeight="true" customFormat="true" s="8">
      <c r="A429" s="12">
        <v>46007</v>
      </c>
      <c r="B429" s="13" t="s">
        <v>36</v>
      </c>
      <c r="C429" s="13" t="s">
        <v>490</v>
      </c>
      <c r="D429" s="13" t="s">
        <v>481</v>
      </c>
      <c r="E429" s="13" t="s">
        <v>16</v>
      </c>
      <c r="F429" s="14">
        <v>0</v>
      </c>
      <c r="G429" s="14">
        <v>699.5700</v>
      </c>
      <c r="H429" s="14">
        <v>0</v>
      </c>
      <c r="I429" s="14">
        <v>699.5700</v>
      </c>
      <c r="J429" s="13" t="s">
        <v>46</v>
      </c>
    </row>
    <row r="430" ht="10.95" customHeight="true" customFormat="true" s="8">
      <c r="A430" s="12">
        <v>46007</v>
      </c>
      <c r="B430" s="13" t="s">
        <v>36</v>
      </c>
      <c r="C430" s="13" t="s">
        <v>491</v>
      </c>
      <c r="D430" s="13" t="s">
        <v>481</v>
      </c>
      <c r="E430" s="13" t="s">
        <v>16</v>
      </c>
      <c r="F430" s="14">
        <v>0</v>
      </c>
      <c r="G430" s="14">
        <v>1037.7800</v>
      </c>
      <c r="H430" s="14">
        <v>0</v>
      </c>
      <c r="I430" s="14">
        <v>1037.7800</v>
      </c>
      <c r="J430" s="13" t="s">
        <v>46</v>
      </c>
    </row>
    <row r="431" ht="10.95" customHeight="true" customFormat="true" s="8">
      <c r="A431" s="12">
        <v>46007</v>
      </c>
      <c r="B431" s="13" t="s">
        <v>36</v>
      </c>
      <c r="C431" s="13" t="s">
        <v>492</v>
      </c>
      <c r="D431" s="13" t="s">
        <v>481</v>
      </c>
      <c r="E431" s="13" t="s">
        <v>16</v>
      </c>
      <c r="F431" s="14">
        <v>0</v>
      </c>
      <c r="G431" s="14">
        <v>696.5400</v>
      </c>
      <c r="H431" s="14">
        <v>0</v>
      </c>
      <c r="I431" s="14">
        <v>696.5400</v>
      </c>
      <c r="J431" s="13" t="s">
        <v>46</v>
      </c>
    </row>
    <row r="432" ht="10.95" customHeight="true" customFormat="true" s="8">
      <c r="A432" s="12">
        <v>46007</v>
      </c>
      <c r="B432" s="13" t="s">
        <v>36</v>
      </c>
      <c r="C432" s="13" t="s">
        <v>493</v>
      </c>
      <c r="D432" s="13" t="s">
        <v>481</v>
      </c>
      <c r="E432" s="13" t="s">
        <v>16</v>
      </c>
      <c r="F432" s="14">
        <v>0</v>
      </c>
      <c r="G432" s="14">
        <v>1469.6200</v>
      </c>
      <c r="H432" s="14">
        <v>0</v>
      </c>
      <c r="I432" s="14">
        <v>1469.6200</v>
      </c>
      <c r="J432" s="13" t="s">
        <v>46</v>
      </c>
    </row>
    <row r="433" ht="10.95" customHeight="true" customFormat="true" s="8">
      <c r="A433" s="12">
        <v>46007</v>
      </c>
      <c r="B433" s="13" t="s">
        <v>36</v>
      </c>
      <c r="C433" s="13" t="s">
        <v>494</v>
      </c>
      <c r="D433" s="13" t="s">
        <v>481</v>
      </c>
      <c r="E433" s="13" t="s">
        <v>16</v>
      </c>
      <c r="F433" s="14">
        <v>0</v>
      </c>
      <c r="G433" s="14">
        <v>1189.3200</v>
      </c>
      <c r="H433" s="14">
        <v>0</v>
      </c>
      <c r="I433" s="14">
        <v>1189.3200</v>
      </c>
      <c r="J433" s="13" t="s">
        <v>46</v>
      </c>
    </row>
    <row r="434" ht="10.95" customHeight="true" customFormat="true" s="8">
      <c r="A434" s="15" t="s">
        <v>495</v>
      </c>
      <c r="B434" s="15"/>
      <c r="C434" s="15"/>
      <c r="D434" s="15"/>
      <c r="E434" s="15"/>
      <c r="F434" s="16">
        <f ca="1">SUM(F418:F433)</f>
        <v>0</v>
      </c>
      <c r="G434" s="16">
        <f ca="1">SUM(G418:G433)</f>
        <v>0</v>
      </c>
      <c r="H434" s="16">
        <f ca="1">SUM(H418:H433)</f>
        <v>0</v>
      </c>
      <c r="I434" s="16">
        <f ca="1">SUM(I418:I433)</f>
        <v>0</v>
      </c>
      <c r="J434" s="15"/>
    </row>
    <row r="435" ht="13.35" customHeight="true"/>
    <row r="436" ht="12.1" customHeight="true" customFormat="true" s="5">
      <c r="A436" s="17" t="s">
        <v>496</v>
      </c>
      <c r="B436" s="17"/>
      <c r="C436" s="17"/>
      <c r="D436" s="17"/>
      <c r="E436" s="17"/>
      <c r="F436" s="17"/>
      <c r="G436" s="17"/>
      <c r="H436" s="17"/>
      <c r="I436" s="17"/>
      <c r="J436" s="17"/>
    </row>
    <row r="437" ht="10.95" customHeight="true" customFormat="true" s="8">
      <c r="A437" s="9">
        <v>45398</v>
      </c>
      <c r="B437" s="10" t="s">
        <v>36</v>
      </c>
      <c r="C437" s="10" t="s">
        <v>497</v>
      </c>
      <c r="D437" s="10" t="s">
        <v>498</v>
      </c>
      <c r="E437" s="10" t="s">
        <v>16</v>
      </c>
      <c r="F437" s="11">
        <v>0</v>
      </c>
      <c r="G437" s="11">
        <v>3300.0000</v>
      </c>
      <c r="H437" s="11">
        <v>0</v>
      </c>
      <c r="I437" s="11">
        <v>3300.0000</v>
      </c>
      <c r="J437" s="10" t="s">
        <v>218</v>
      </c>
    </row>
    <row r="438" ht="10.95" customHeight="true" customFormat="true" s="8">
      <c r="A438" s="12">
        <v>45398</v>
      </c>
      <c r="B438" s="13" t="s">
        <v>36</v>
      </c>
      <c r="C438" s="13" t="s">
        <v>499</v>
      </c>
      <c r="D438" s="13" t="s">
        <v>498</v>
      </c>
      <c r="E438" s="13" t="s">
        <v>16</v>
      </c>
      <c r="F438" s="14">
        <v>0</v>
      </c>
      <c r="G438" s="14">
        <v>1170.0000</v>
      </c>
      <c r="H438" s="14">
        <v>0</v>
      </c>
      <c r="I438" s="14">
        <v>1170.0000</v>
      </c>
      <c r="J438" s="13" t="s">
        <v>218</v>
      </c>
    </row>
    <row r="439" ht="10.95" customHeight="true" customFormat="true" s="8">
      <c r="A439" s="12">
        <v>45398</v>
      </c>
      <c r="B439" s="13" t="s">
        <v>36</v>
      </c>
      <c r="C439" s="13" t="s">
        <v>500</v>
      </c>
      <c r="D439" s="13" t="s">
        <v>498</v>
      </c>
      <c r="E439" s="13" t="s">
        <v>16</v>
      </c>
      <c r="F439" s="14">
        <v>0</v>
      </c>
      <c r="G439" s="14">
        <v>2340.0000</v>
      </c>
      <c r="H439" s="14">
        <v>0</v>
      </c>
      <c r="I439" s="14">
        <v>2340.0000</v>
      </c>
      <c r="J439" s="13" t="s">
        <v>218</v>
      </c>
    </row>
    <row r="440" ht="10.95" customHeight="true" customFormat="true" s="8">
      <c r="A440" s="15" t="s">
        <v>501</v>
      </c>
      <c r="B440" s="15"/>
      <c r="C440" s="15"/>
      <c r="D440" s="15"/>
      <c r="E440" s="15"/>
      <c r="F440" s="16">
        <f ca="1">SUM(F437:F439)</f>
        <v>0</v>
      </c>
      <c r="G440" s="16">
        <f ca="1">SUM(G437:G439)</f>
        <v>0</v>
      </c>
      <c r="H440" s="16">
        <f ca="1">SUM(H437:H439)</f>
        <v>0</v>
      </c>
      <c r="I440" s="16">
        <f ca="1">SUM(I437:I439)</f>
        <v>0</v>
      </c>
      <c r="J440" s="15"/>
    </row>
    <row r="441" ht="13.35" customHeight="true"/>
    <row r="442" ht="12.1" customHeight="true" customFormat="true" s="5">
      <c r="A442" s="17" t="s">
        <v>502</v>
      </c>
      <c r="B442" s="17"/>
      <c r="C442" s="17"/>
      <c r="D442" s="17"/>
      <c r="E442" s="17"/>
      <c r="F442" s="17"/>
      <c r="G442" s="17"/>
      <c r="H442" s="17"/>
      <c r="I442" s="17"/>
      <c r="J442" s="17"/>
    </row>
    <row r="443" ht="10.95" customHeight="true" customFormat="true" s="8">
      <c r="A443" s="9">
        <v>46107</v>
      </c>
      <c r="B443" s="10" t="s">
        <v>36</v>
      </c>
      <c r="C443" s="10" t="s">
        <v>503</v>
      </c>
      <c r="D443" s="10" t="s">
        <v>504</v>
      </c>
      <c r="E443" s="10" t="s">
        <v>16</v>
      </c>
      <c r="F443" s="11">
        <v>0</v>
      </c>
      <c r="G443" s="11">
        <v>11694.0000</v>
      </c>
      <c r="H443" s="11">
        <v>0</v>
      </c>
      <c r="I443" s="11">
        <v>11694.0000</v>
      </c>
      <c r="J443" s="10" t="s">
        <v>46</v>
      </c>
    </row>
    <row r="444" ht="10.95" customHeight="true" customFormat="true" s="8">
      <c r="A444" s="15" t="s">
        <v>505</v>
      </c>
      <c r="B444" s="15"/>
      <c r="C444" s="15"/>
      <c r="D444" s="15"/>
      <c r="E444" s="15"/>
      <c r="F444" s="16">
        <f ca="1">F443</f>
        <v>0</v>
      </c>
      <c r="G444" s="16">
        <f ca="1">G443</f>
        <v>0</v>
      </c>
      <c r="H444" s="16">
        <f ca="1">H443</f>
        <v>0</v>
      </c>
      <c r="I444" s="16">
        <f ca="1">I443</f>
        <v>0</v>
      </c>
      <c r="J444" s="15"/>
    </row>
    <row r="445" ht="13.35" customHeight="true"/>
    <row r="446" ht="12.1" customHeight="true" customFormat="true" s="5">
      <c r="A446" s="17" t="s">
        <v>506</v>
      </c>
      <c r="B446" s="17"/>
      <c r="C446" s="17"/>
      <c r="D446" s="17"/>
      <c r="E446" s="17"/>
      <c r="F446" s="17"/>
      <c r="G446" s="17"/>
      <c r="H446" s="17"/>
      <c r="I446" s="17"/>
      <c r="J446" s="17"/>
    </row>
    <row r="447" ht="10.95" customHeight="true" customFormat="true" s="8">
      <c r="A447" s="9">
        <v>45588</v>
      </c>
      <c r="B447" s="10" t="s">
        <v>36</v>
      </c>
      <c r="C447" s="10" t="s">
        <v>507</v>
      </c>
      <c r="D447" s="10" t="s">
        <v>508</v>
      </c>
      <c r="E447" s="10" t="s">
        <v>16</v>
      </c>
      <c r="F447" s="11">
        <v>0</v>
      </c>
      <c r="G447" s="11">
        <v>3814.2000</v>
      </c>
      <c r="H447" s="11">
        <v>0</v>
      </c>
      <c r="I447" s="11">
        <v>3814.2000</v>
      </c>
      <c r="J447" s="10" t="s">
        <v>46</v>
      </c>
    </row>
    <row r="448" ht="10.95" customHeight="true" customFormat="true" s="8">
      <c r="A448" s="15" t="s">
        <v>509</v>
      </c>
      <c r="B448" s="15"/>
      <c r="C448" s="15"/>
      <c r="D448" s="15"/>
      <c r="E448" s="15"/>
      <c r="F448" s="16">
        <f ca="1">F447</f>
        <v>0</v>
      </c>
      <c r="G448" s="16">
        <f ca="1">G447</f>
        <v>0</v>
      </c>
      <c r="H448" s="16">
        <f ca="1">H447</f>
        <v>0</v>
      </c>
      <c r="I448" s="16">
        <f ca="1">I447</f>
        <v>0</v>
      </c>
      <c r="J448" s="15"/>
    </row>
    <row r="449" ht="13.35" customHeight="true"/>
    <row r="450" ht="12.1" customHeight="true" customFormat="true" s="5">
      <c r="A450" s="17" t="s">
        <v>510</v>
      </c>
      <c r="B450" s="17"/>
      <c r="C450" s="17"/>
      <c r="D450" s="17"/>
      <c r="E450" s="17"/>
      <c r="F450" s="17"/>
      <c r="G450" s="17"/>
      <c r="H450" s="17"/>
      <c r="I450" s="17"/>
      <c r="J450" s="17"/>
    </row>
    <row r="451" ht="10.95" customHeight="true" customFormat="true" s="8">
      <c r="A451" s="9">
        <v>46241</v>
      </c>
      <c r="B451" s="10" t="s">
        <v>36</v>
      </c>
      <c r="C451" s="10" t="s">
        <v>511</v>
      </c>
      <c r="D451" s="10" t="s">
        <v>512</v>
      </c>
      <c r="E451" s="10" t="s">
        <v>16</v>
      </c>
      <c r="F451" s="11">
        <v>0</v>
      </c>
      <c r="G451" s="11">
        <v>1795.7500</v>
      </c>
      <c r="H451" s="11">
        <v>0</v>
      </c>
      <c r="I451" s="11">
        <v>1795.7500</v>
      </c>
      <c r="J451" s="10" t="s">
        <v>46</v>
      </c>
    </row>
    <row r="452" ht="10.95" customHeight="true" customFormat="true" s="8">
      <c r="A452" s="15" t="s">
        <v>513</v>
      </c>
      <c r="B452" s="15"/>
      <c r="C452" s="15"/>
      <c r="D452" s="15"/>
      <c r="E452" s="15"/>
      <c r="F452" s="16">
        <f ca="1">F451</f>
        <v>0</v>
      </c>
      <c r="G452" s="16">
        <f ca="1">G451</f>
        <v>0</v>
      </c>
      <c r="H452" s="16">
        <f ca="1">H451</f>
        <v>0</v>
      </c>
      <c r="I452" s="16">
        <f ca="1">I451</f>
        <v>0</v>
      </c>
      <c r="J452" s="15"/>
    </row>
    <row r="453" ht="13.35" customHeight="true"/>
    <row r="454" ht="12.1" customHeight="true" customFormat="true" s="5">
      <c r="A454" s="17" t="s">
        <v>514</v>
      </c>
      <c r="B454" s="17"/>
      <c r="C454" s="17"/>
      <c r="D454" s="17"/>
      <c r="E454" s="17"/>
      <c r="F454" s="17"/>
      <c r="G454" s="17"/>
      <c r="H454" s="17"/>
      <c r="I454" s="17"/>
      <c r="J454" s="17"/>
    </row>
    <row r="455" ht="10.95" customHeight="true" customFormat="true" s="8">
      <c r="A455" s="9">
        <v>45968</v>
      </c>
      <c r="B455" s="10" t="s">
        <v>36</v>
      </c>
      <c r="C455" s="10" t="s">
        <v>515</v>
      </c>
      <c r="D455" s="10" t="s">
        <v>516</v>
      </c>
      <c r="E455" s="10" t="s">
        <v>16</v>
      </c>
      <c r="F455" s="11">
        <v>0</v>
      </c>
      <c r="G455" s="11">
        <v>795.6000</v>
      </c>
      <c r="H455" s="11">
        <v>0</v>
      </c>
      <c r="I455" s="11">
        <v>795.6000</v>
      </c>
      <c r="J455" s="10" t="s">
        <v>46</v>
      </c>
    </row>
    <row r="456" ht="10.95" customHeight="true" customFormat="true" s="8">
      <c r="A456" s="12">
        <v>45968</v>
      </c>
      <c r="B456" s="13" t="s">
        <v>36</v>
      </c>
      <c r="C456" s="13" t="s">
        <v>517</v>
      </c>
      <c r="D456" s="13" t="s">
        <v>516</v>
      </c>
      <c r="E456" s="13" t="s">
        <v>16</v>
      </c>
      <c r="F456" s="14">
        <v>0</v>
      </c>
      <c r="G456" s="14">
        <v>1346.4000</v>
      </c>
      <c r="H456" s="14">
        <v>0</v>
      </c>
      <c r="I456" s="14">
        <v>1346.4000</v>
      </c>
      <c r="J456" s="13" t="s">
        <v>46</v>
      </c>
    </row>
    <row r="457" ht="10.95" customHeight="true" customFormat="true" s="8">
      <c r="A457" s="15" t="s">
        <v>518</v>
      </c>
      <c r="B457" s="15"/>
      <c r="C457" s="15"/>
      <c r="D457" s="15"/>
      <c r="E457" s="15"/>
      <c r="F457" s="16">
        <f ca="1">SUM(F455:F456)</f>
        <v>0</v>
      </c>
      <c r="G457" s="16">
        <f ca="1">SUM(G455:G456)</f>
        <v>0</v>
      </c>
      <c r="H457" s="16">
        <f ca="1">SUM(H455:H456)</f>
        <v>0</v>
      </c>
      <c r="I457" s="16">
        <f ca="1">SUM(I455:I456)</f>
        <v>0</v>
      </c>
      <c r="J457" s="15"/>
    </row>
    <row r="458" ht="13.35" customHeight="true"/>
    <row r="459" ht="12.1" customHeight="true" customFormat="true" s="5">
      <c r="A459" s="17" t="s">
        <v>519</v>
      </c>
      <c r="B459" s="17"/>
      <c r="C459" s="17"/>
      <c r="D459" s="17"/>
      <c r="E459" s="17"/>
      <c r="F459" s="17"/>
      <c r="G459" s="17"/>
      <c r="H459" s="17"/>
      <c r="I459" s="17"/>
      <c r="J459" s="17"/>
    </row>
    <row r="460" ht="10.95" customHeight="true" customFormat="true" s="8">
      <c r="A460" s="9">
        <v>46154</v>
      </c>
      <c r="B460" s="10" t="s">
        <v>36</v>
      </c>
      <c r="C460" s="10" t="s">
        <v>520</v>
      </c>
      <c r="D460" s="10" t="s">
        <v>521</v>
      </c>
      <c r="E460" s="10" t="s">
        <v>16</v>
      </c>
      <c r="F460" s="11">
        <v>0</v>
      </c>
      <c r="G460" s="11">
        <v>120.0000</v>
      </c>
      <c r="H460" s="11">
        <v>0</v>
      </c>
      <c r="I460" s="11">
        <v>120.0000</v>
      </c>
      <c r="J460" s="10" t="s">
        <v>46</v>
      </c>
    </row>
    <row r="461" ht="10.95" customHeight="true" customFormat="true" s="8">
      <c r="A461" s="15" t="s">
        <v>522</v>
      </c>
      <c r="B461" s="15"/>
      <c r="C461" s="15"/>
      <c r="D461" s="15"/>
      <c r="E461" s="15"/>
      <c r="F461" s="16">
        <f ca="1">F460</f>
        <v>0</v>
      </c>
      <c r="G461" s="16">
        <f ca="1">G460</f>
        <v>0</v>
      </c>
      <c r="H461" s="16">
        <f ca="1">H460</f>
        <v>0</v>
      </c>
      <c r="I461" s="16">
        <f ca="1">I460</f>
        <v>0</v>
      </c>
      <c r="J461" s="15"/>
    </row>
    <row r="462" ht="13.35" customHeight="true"/>
    <row r="463" ht="12.1" customHeight="true" customFormat="true" s="5">
      <c r="A463" s="17" t="s">
        <v>523</v>
      </c>
      <c r="B463" s="17"/>
      <c r="C463" s="17"/>
      <c r="D463" s="17"/>
      <c r="E463" s="17"/>
      <c r="F463" s="17"/>
      <c r="G463" s="17"/>
      <c r="H463" s="17"/>
      <c r="I463" s="17"/>
      <c r="J463" s="17"/>
    </row>
    <row r="464" ht="10.95" customHeight="true" customFormat="true" s="8">
      <c r="A464" s="9">
        <v>45946</v>
      </c>
      <c r="B464" s="10" t="s">
        <v>36</v>
      </c>
      <c r="C464" s="10" t="s">
        <v>524</v>
      </c>
      <c r="D464" s="10" t="s">
        <v>525</v>
      </c>
      <c r="E464" s="10" t="s">
        <v>16</v>
      </c>
      <c r="F464" s="11">
        <v>0</v>
      </c>
      <c r="G464" s="11">
        <v>202.5000</v>
      </c>
      <c r="H464" s="11">
        <v>0</v>
      </c>
      <c r="I464" s="11">
        <v>202.5000</v>
      </c>
      <c r="J464" s="10" t="s">
        <v>46</v>
      </c>
    </row>
    <row r="465" ht="10.95" customHeight="true" customFormat="true" s="8">
      <c r="A465" s="15" t="s">
        <v>526</v>
      </c>
      <c r="B465" s="15"/>
      <c r="C465" s="15"/>
      <c r="D465" s="15"/>
      <c r="E465" s="15"/>
      <c r="F465" s="16">
        <f ca="1">F464</f>
        <v>0</v>
      </c>
      <c r="G465" s="16">
        <f ca="1">G464</f>
        <v>0</v>
      </c>
      <c r="H465" s="16">
        <f ca="1">H464</f>
        <v>0</v>
      </c>
      <c r="I465" s="16">
        <f ca="1">I464</f>
        <v>0</v>
      </c>
      <c r="J465" s="15"/>
    </row>
    <row r="466" ht="13.35" customHeight="true"/>
    <row r="467" ht="12.1" customHeight="true" customFormat="true" s="5">
      <c r="A467" s="17" t="s">
        <v>527</v>
      </c>
      <c r="B467" s="17"/>
      <c r="C467" s="17"/>
      <c r="D467" s="17"/>
      <c r="E467" s="17"/>
      <c r="F467" s="17"/>
      <c r="G467" s="17"/>
      <c r="H467" s="17"/>
      <c r="I467" s="17"/>
      <c r="J467" s="17"/>
    </row>
    <row r="468" ht="10.95" customHeight="true" customFormat="true" s="8">
      <c r="A468" s="9">
        <v>45635</v>
      </c>
      <c r="B468" s="10" t="s">
        <v>36</v>
      </c>
      <c r="C468" s="10" t="s">
        <v>528</v>
      </c>
      <c r="D468" s="10" t="s">
        <v>529</v>
      </c>
      <c r="E468" s="10" t="s">
        <v>16</v>
      </c>
      <c r="F468" s="11">
        <v>0</v>
      </c>
      <c r="G468" s="11">
        <v>537.6500</v>
      </c>
      <c r="H468" s="11">
        <v>0</v>
      </c>
      <c r="I468" s="11">
        <v>537.6500</v>
      </c>
      <c r="J468" s="10" t="s">
        <v>46</v>
      </c>
    </row>
    <row r="469" ht="10.95" customHeight="true" customFormat="true" s="8">
      <c r="A469" s="12">
        <v>45635</v>
      </c>
      <c r="B469" s="13" t="s">
        <v>36</v>
      </c>
      <c r="C469" s="13" t="s">
        <v>530</v>
      </c>
      <c r="D469" s="13" t="s">
        <v>529</v>
      </c>
      <c r="E469" s="13" t="s">
        <v>16</v>
      </c>
      <c r="F469" s="14">
        <v>0</v>
      </c>
      <c r="G469" s="14">
        <v>661.5800</v>
      </c>
      <c r="H469" s="14">
        <v>0</v>
      </c>
      <c r="I469" s="14">
        <v>661.5800</v>
      </c>
      <c r="J469" s="13" t="s">
        <v>46</v>
      </c>
    </row>
    <row r="470" ht="10.95" customHeight="true" customFormat="true" s="8">
      <c r="A470" s="15" t="s">
        <v>531</v>
      </c>
      <c r="B470" s="15"/>
      <c r="C470" s="15"/>
      <c r="D470" s="15"/>
      <c r="E470" s="15"/>
      <c r="F470" s="16">
        <f ca="1">SUM(F468:F469)</f>
        <v>0</v>
      </c>
      <c r="G470" s="16">
        <f ca="1">SUM(G468:G469)</f>
        <v>0</v>
      </c>
      <c r="H470" s="16">
        <f ca="1">SUM(H468:H469)</f>
        <v>0</v>
      </c>
      <c r="I470" s="16">
        <f ca="1">SUM(I468:I469)</f>
        <v>0</v>
      </c>
      <c r="J470" s="15"/>
    </row>
    <row r="471" ht="13.35" customHeight="true"/>
    <row r="472" ht="12.1" customHeight="true" customFormat="true" s="5">
      <c r="A472" s="17" t="s">
        <v>532</v>
      </c>
      <c r="B472" s="17"/>
      <c r="C472" s="17"/>
      <c r="D472" s="17"/>
      <c r="E472" s="17"/>
      <c r="F472" s="17"/>
      <c r="G472" s="17"/>
      <c r="H472" s="17"/>
      <c r="I472" s="17"/>
      <c r="J472" s="17"/>
    </row>
    <row r="473" ht="10.95" customHeight="true" customFormat="true" s="8">
      <c r="A473" s="9">
        <v>45436</v>
      </c>
      <c r="B473" s="10" t="s">
        <v>36</v>
      </c>
      <c r="C473" s="10" t="s">
        <v>533</v>
      </c>
      <c r="D473" s="10" t="s">
        <v>534</v>
      </c>
      <c r="E473" s="10" t="s">
        <v>16</v>
      </c>
      <c r="F473" s="11">
        <v>0</v>
      </c>
      <c r="G473" s="11">
        <v>100.0000</v>
      </c>
      <c r="H473" s="11">
        <v>0</v>
      </c>
      <c r="I473" s="11">
        <v>100.0000</v>
      </c>
      <c r="J473" s="10" t="s">
        <v>46</v>
      </c>
    </row>
    <row r="474" ht="10.95" customHeight="true" customFormat="true" s="8">
      <c r="A474" s="15" t="s">
        <v>535</v>
      </c>
      <c r="B474" s="15"/>
      <c r="C474" s="15"/>
      <c r="D474" s="15"/>
      <c r="E474" s="15"/>
      <c r="F474" s="16">
        <f ca="1">F473</f>
        <v>0</v>
      </c>
      <c r="G474" s="16">
        <f ca="1">G473</f>
        <v>0</v>
      </c>
      <c r="H474" s="16">
        <f ca="1">H473</f>
        <v>0</v>
      </c>
      <c r="I474" s="16">
        <f ca="1">I473</f>
        <v>0</v>
      </c>
      <c r="J474" s="15"/>
    </row>
    <row r="475" ht="13.35" customHeight="true"/>
    <row r="476" ht="12.1" customHeight="true" customFormat="true" s="5">
      <c r="A476" s="17" t="s">
        <v>536</v>
      </c>
      <c r="B476" s="17"/>
      <c r="C476" s="17"/>
      <c r="D476" s="17"/>
      <c r="E476" s="17"/>
      <c r="F476" s="17"/>
      <c r="G476" s="17"/>
      <c r="H476" s="17"/>
      <c r="I476" s="17"/>
      <c r="J476" s="17"/>
    </row>
    <row r="477" ht="10.95" customHeight="true" customFormat="true" s="8">
      <c r="A477" s="9">
        <v>45566</v>
      </c>
      <c r="B477" s="10" t="s">
        <v>36</v>
      </c>
      <c r="C477" s="10" t="s">
        <v>537</v>
      </c>
      <c r="D477" s="10" t="s">
        <v>538</v>
      </c>
      <c r="E477" s="10" t="s">
        <v>16</v>
      </c>
      <c r="F477" s="11">
        <v>0</v>
      </c>
      <c r="G477" s="11">
        <v>6440.0000</v>
      </c>
      <c r="H477" s="11">
        <v>0</v>
      </c>
      <c r="I477" s="11">
        <v>6440.0000</v>
      </c>
      <c r="J477" s="10" t="s">
        <v>391</v>
      </c>
    </row>
    <row r="478" ht="10.95" customHeight="true" customFormat="true" s="8">
      <c r="A478" s="12">
        <v>45566</v>
      </c>
      <c r="B478" s="13" t="s">
        <v>36</v>
      </c>
      <c r="C478" s="13" t="s">
        <v>539</v>
      </c>
      <c r="D478" s="13" t="s">
        <v>538</v>
      </c>
      <c r="E478" s="13" t="s">
        <v>16</v>
      </c>
      <c r="F478" s="14">
        <v>0</v>
      </c>
      <c r="G478" s="14">
        <v>2730.0000</v>
      </c>
      <c r="H478" s="14">
        <v>0</v>
      </c>
      <c r="I478" s="14">
        <v>2730.0000</v>
      </c>
      <c r="J478" s="13" t="s">
        <v>391</v>
      </c>
    </row>
    <row r="479" ht="10.95" customHeight="true" customFormat="true" s="8">
      <c r="A479" s="12">
        <v>45566</v>
      </c>
      <c r="B479" s="13" t="s">
        <v>36</v>
      </c>
      <c r="C479" s="13" t="s">
        <v>540</v>
      </c>
      <c r="D479" s="13" t="s">
        <v>538</v>
      </c>
      <c r="E479" s="13" t="s">
        <v>16</v>
      </c>
      <c r="F479" s="14">
        <v>0</v>
      </c>
      <c r="G479" s="14">
        <v>960.0000</v>
      </c>
      <c r="H479" s="14">
        <v>0</v>
      </c>
      <c r="I479" s="14">
        <v>960.0000</v>
      </c>
      <c r="J479" s="13" t="s">
        <v>268</v>
      </c>
    </row>
    <row r="480" ht="10.95" customHeight="true" customFormat="true" s="8">
      <c r="A480" s="12">
        <v>45566</v>
      </c>
      <c r="B480" s="13" t="s">
        <v>36</v>
      </c>
      <c r="C480" s="13" t="s">
        <v>541</v>
      </c>
      <c r="D480" s="13" t="s">
        <v>538</v>
      </c>
      <c r="E480" s="13" t="s">
        <v>16</v>
      </c>
      <c r="F480" s="14">
        <v>0</v>
      </c>
      <c r="G480" s="14">
        <v>960.0000</v>
      </c>
      <c r="H480" s="14">
        <v>0</v>
      </c>
      <c r="I480" s="14">
        <v>960.0000</v>
      </c>
      <c r="J480" s="13" t="s">
        <v>268</v>
      </c>
    </row>
    <row r="481" ht="10.95" customHeight="true" customFormat="true" s="8">
      <c r="A481" s="12">
        <v>45566</v>
      </c>
      <c r="B481" s="13" t="s">
        <v>36</v>
      </c>
      <c r="C481" s="13" t="s">
        <v>542</v>
      </c>
      <c r="D481" s="13" t="s">
        <v>538</v>
      </c>
      <c r="E481" s="13" t="s">
        <v>16</v>
      </c>
      <c r="F481" s="14">
        <v>0</v>
      </c>
      <c r="G481" s="14">
        <v>960.0000</v>
      </c>
      <c r="H481" s="14">
        <v>0</v>
      </c>
      <c r="I481" s="14">
        <v>960.0000</v>
      </c>
      <c r="J481" s="13" t="s">
        <v>268</v>
      </c>
    </row>
    <row r="482" ht="10.95" customHeight="true" customFormat="true" s="8">
      <c r="A482" s="12">
        <v>45566</v>
      </c>
      <c r="B482" s="13" t="s">
        <v>36</v>
      </c>
      <c r="C482" s="13" t="s">
        <v>543</v>
      </c>
      <c r="D482" s="13" t="s">
        <v>538</v>
      </c>
      <c r="E482" s="13" t="s">
        <v>16</v>
      </c>
      <c r="F482" s="14">
        <v>0</v>
      </c>
      <c r="G482" s="14">
        <v>3960.0000</v>
      </c>
      <c r="H482" s="14">
        <v>0</v>
      </c>
      <c r="I482" s="14">
        <v>3960.0000</v>
      </c>
      <c r="J482" s="13" t="s">
        <v>268</v>
      </c>
    </row>
    <row r="483" ht="10.95" customHeight="true" customFormat="true" s="8">
      <c r="A483" s="12">
        <v>45566</v>
      </c>
      <c r="B483" s="13" t="s">
        <v>36</v>
      </c>
      <c r="C483" s="13" t="s">
        <v>544</v>
      </c>
      <c r="D483" s="13" t="s">
        <v>538</v>
      </c>
      <c r="E483" s="13" t="s">
        <v>16</v>
      </c>
      <c r="F483" s="14">
        <v>0</v>
      </c>
      <c r="G483" s="14">
        <v>2880.0000</v>
      </c>
      <c r="H483" s="14">
        <v>0</v>
      </c>
      <c r="I483" s="14">
        <v>2880.0000</v>
      </c>
      <c r="J483" s="13" t="s">
        <v>268</v>
      </c>
    </row>
    <row r="484" ht="10.95" customHeight="true" customFormat="true" s="8">
      <c r="A484" s="12">
        <v>45566</v>
      </c>
      <c r="B484" s="13" t="s">
        <v>36</v>
      </c>
      <c r="C484" s="13" t="s">
        <v>545</v>
      </c>
      <c r="D484" s="13" t="s">
        <v>538</v>
      </c>
      <c r="E484" s="13" t="s">
        <v>16</v>
      </c>
      <c r="F484" s="14">
        <v>0</v>
      </c>
      <c r="G484" s="14">
        <v>3000.0000</v>
      </c>
      <c r="H484" s="14">
        <v>0</v>
      </c>
      <c r="I484" s="14">
        <v>3000.0000</v>
      </c>
      <c r="J484" s="13" t="s">
        <v>268</v>
      </c>
    </row>
    <row r="485" ht="10.95" customHeight="true" customFormat="true" s="8">
      <c r="A485" s="12">
        <v>45566</v>
      </c>
      <c r="B485" s="13" t="s">
        <v>36</v>
      </c>
      <c r="C485" s="13" t="s">
        <v>546</v>
      </c>
      <c r="D485" s="13" t="s">
        <v>538</v>
      </c>
      <c r="E485" s="13" t="s">
        <v>16</v>
      </c>
      <c r="F485" s="14">
        <v>0</v>
      </c>
      <c r="G485" s="14">
        <v>1920.0000</v>
      </c>
      <c r="H485" s="14">
        <v>0</v>
      </c>
      <c r="I485" s="14">
        <v>1920.0000</v>
      </c>
      <c r="J485" s="13" t="s">
        <v>268</v>
      </c>
    </row>
    <row r="486" ht="10.95" customHeight="true" customFormat="true" s="8">
      <c r="A486" s="12">
        <v>45566</v>
      </c>
      <c r="B486" s="13" t="s">
        <v>36</v>
      </c>
      <c r="C486" s="13" t="s">
        <v>547</v>
      </c>
      <c r="D486" s="13" t="s">
        <v>538</v>
      </c>
      <c r="E486" s="13" t="s">
        <v>16</v>
      </c>
      <c r="F486" s="14">
        <v>0</v>
      </c>
      <c r="G486" s="14">
        <v>270.0000</v>
      </c>
      <c r="H486" s="14">
        <v>0</v>
      </c>
      <c r="I486" s="14">
        <v>270.0000</v>
      </c>
      <c r="J486" s="13" t="s">
        <v>268</v>
      </c>
    </row>
    <row r="487" ht="10.95" customHeight="true" customFormat="true" s="8">
      <c r="A487" s="12">
        <v>45566</v>
      </c>
      <c r="B487" s="13" t="s">
        <v>36</v>
      </c>
      <c r="C487" s="13" t="s">
        <v>548</v>
      </c>
      <c r="D487" s="13" t="s">
        <v>538</v>
      </c>
      <c r="E487" s="13" t="s">
        <v>16</v>
      </c>
      <c r="F487" s="14">
        <v>0</v>
      </c>
      <c r="G487" s="14">
        <v>324.0000</v>
      </c>
      <c r="H487" s="14">
        <v>0</v>
      </c>
      <c r="I487" s="14">
        <v>324.0000</v>
      </c>
      <c r="J487" s="13" t="s">
        <v>268</v>
      </c>
    </row>
    <row r="488" ht="10.95" customHeight="true" customFormat="true" s="8">
      <c r="A488" s="12">
        <v>45566</v>
      </c>
      <c r="B488" s="13" t="s">
        <v>36</v>
      </c>
      <c r="C488" s="13" t="s">
        <v>549</v>
      </c>
      <c r="D488" s="13" t="s">
        <v>538</v>
      </c>
      <c r="E488" s="13" t="s">
        <v>16</v>
      </c>
      <c r="F488" s="14">
        <v>0</v>
      </c>
      <c r="G488" s="14">
        <v>25707.5000</v>
      </c>
      <c r="H488" s="14">
        <v>0</v>
      </c>
      <c r="I488" s="14">
        <v>25707.5000</v>
      </c>
      <c r="J488" s="13" t="s">
        <v>17</v>
      </c>
    </row>
    <row r="489" ht="10.95" customHeight="true" customFormat="true" s="8">
      <c r="A489" s="12">
        <v>45566</v>
      </c>
      <c r="B489" s="13" t="s">
        <v>36</v>
      </c>
      <c r="C489" s="13" t="s">
        <v>550</v>
      </c>
      <c r="D489" s="13" t="s">
        <v>538</v>
      </c>
      <c r="E489" s="13" t="s">
        <v>16</v>
      </c>
      <c r="F489" s="14">
        <v>0</v>
      </c>
      <c r="G489" s="14">
        <v>4308.0000</v>
      </c>
      <c r="H489" s="14">
        <v>0</v>
      </c>
      <c r="I489" s="14">
        <v>4308.0000</v>
      </c>
      <c r="J489" s="13" t="s">
        <v>20</v>
      </c>
    </row>
    <row r="490" ht="10.95" customHeight="true" customFormat="true" s="8">
      <c r="A490" s="12">
        <v>46086</v>
      </c>
      <c r="B490" s="13" t="s">
        <v>36</v>
      </c>
      <c r="C490" s="13" t="s">
        <v>551</v>
      </c>
      <c r="D490" s="13" t="s">
        <v>552</v>
      </c>
      <c r="E490" s="13" t="s">
        <v>16</v>
      </c>
      <c r="F490" s="14">
        <v>0</v>
      </c>
      <c r="G490" s="14">
        <v>3000.0000</v>
      </c>
      <c r="H490" s="14">
        <v>0</v>
      </c>
      <c r="I490" s="14">
        <v>3000.0000</v>
      </c>
      <c r="J490" s="13" t="s">
        <v>46</v>
      </c>
    </row>
    <row r="491" ht="10.95" customHeight="true" customFormat="true" s="8">
      <c r="A491" s="12">
        <v>46210</v>
      </c>
      <c r="B491" s="13" t="s">
        <v>36</v>
      </c>
      <c r="C491" s="13" t="s">
        <v>553</v>
      </c>
      <c r="D491" s="13" t="s">
        <v>554</v>
      </c>
      <c r="E491" s="13" t="s">
        <v>16</v>
      </c>
      <c r="F491" s="14">
        <v>0</v>
      </c>
      <c r="G491" s="14">
        <v>548.4000</v>
      </c>
      <c r="H491" s="14">
        <v>0</v>
      </c>
      <c r="I491" s="14">
        <v>548.4000</v>
      </c>
      <c r="J491" s="13" t="s">
        <v>46</v>
      </c>
    </row>
    <row r="492" ht="10.95" customHeight="true" customFormat="true" s="8">
      <c r="A492" s="12">
        <v>46211</v>
      </c>
      <c r="B492" s="13" t="s">
        <v>36</v>
      </c>
      <c r="C492" s="13" t="s">
        <v>555</v>
      </c>
      <c r="D492" s="13" t="s">
        <v>556</v>
      </c>
      <c r="E492" s="13" t="s">
        <v>16</v>
      </c>
      <c r="F492" s="14">
        <v>0</v>
      </c>
      <c r="G492" s="14">
        <v>155.4100</v>
      </c>
      <c r="H492" s="14">
        <v>0</v>
      </c>
      <c r="I492" s="14">
        <v>155.4100</v>
      </c>
      <c r="J492" s="13" t="s">
        <v>46</v>
      </c>
    </row>
    <row r="493" ht="10.95" customHeight="true" customFormat="true" s="8">
      <c r="A493" s="15" t="s">
        <v>557</v>
      </c>
      <c r="B493" s="15"/>
      <c r="C493" s="15"/>
      <c r="D493" s="15"/>
      <c r="E493" s="15"/>
      <c r="F493" s="16">
        <f ca="1">SUM(F477:F492)</f>
        <v>0</v>
      </c>
      <c r="G493" s="16">
        <f ca="1">SUM(G477:G492)</f>
        <v>0</v>
      </c>
      <c r="H493" s="16">
        <f ca="1">SUM(H477:H492)</f>
        <v>0</v>
      </c>
      <c r="I493" s="16">
        <f ca="1">SUM(I477:I492)</f>
        <v>0</v>
      </c>
      <c r="J493" s="15"/>
    </row>
    <row r="494" ht="13.35" customHeight="true"/>
    <row r="495" ht="12.1" customHeight="true" customFormat="true" s="5">
      <c r="A495" s="17" t="s">
        <v>558</v>
      </c>
      <c r="B495" s="17"/>
      <c r="C495" s="17"/>
      <c r="D495" s="17"/>
      <c r="E495" s="17"/>
      <c r="F495" s="17"/>
      <c r="G495" s="17"/>
      <c r="H495" s="17"/>
      <c r="I495" s="17"/>
      <c r="J495" s="17"/>
    </row>
    <row r="496" ht="10.95" customHeight="true" customFormat="true" s="8">
      <c r="A496" s="9">
        <v>45355</v>
      </c>
      <c r="B496" s="10" t="s">
        <v>36</v>
      </c>
      <c r="C496" s="10" t="s">
        <v>559</v>
      </c>
      <c r="D496" s="10" t="s">
        <v>560</v>
      </c>
      <c r="E496" s="10" t="s">
        <v>16</v>
      </c>
      <c r="F496" s="11">
        <v>0</v>
      </c>
      <c r="G496" s="11">
        <v>1320.0000</v>
      </c>
      <c r="H496" s="11">
        <v>0</v>
      </c>
      <c r="I496" s="11">
        <v>1320.0000</v>
      </c>
      <c r="J496" s="10" t="s">
        <v>218</v>
      </c>
    </row>
    <row r="497" ht="10.95" customHeight="true" customFormat="true" s="8">
      <c r="A497" s="12">
        <v>45355</v>
      </c>
      <c r="B497" s="13" t="s">
        <v>36</v>
      </c>
      <c r="C497" s="13" t="s">
        <v>561</v>
      </c>
      <c r="D497" s="13" t="s">
        <v>560</v>
      </c>
      <c r="E497" s="13" t="s">
        <v>16</v>
      </c>
      <c r="F497" s="14">
        <v>0</v>
      </c>
      <c r="G497" s="14">
        <v>1560.0000</v>
      </c>
      <c r="H497" s="14">
        <v>0</v>
      </c>
      <c r="I497" s="14">
        <v>1560.0000</v>
      </c>
      <c r="J497" s="13" t="s">
        <v>218</v>
      </c>
    </row>
    <row r="498" ht="10.95" customHeight="true" customFormat="true" s="8">
      <c r="A498" s="12">
        <v>45355</v>
      </c>
      <c r="B498" s="13" t="s">
        <v>36</v>
      </c>
      <c r="C498" s="13" t="s">
        <v>562</v>
      </c>
      <c r="D498" s="13" t="s">
        <v>560</v>
      </c>
      <c r="E498" s="13" t="s">
        <v>16</v>
      </c>
      <c r="F498" s="14">
        <v>0</v>
      </c>
      <c r="G498" s="14">
        <v>1560.0000</v>
      </c>
      <c r="H498" s="14">
        <v>0</v>
      </c>
      <c r="I498" s="14">
        <v>1560.0000</v>
      </c>
      <c r="J498" s="13" t="s">
        <v>218</v>
      </c>
    </row>
    <row r="499" ht="10.95" customHeight="true" customFormat="true" s="8">
      <c r="A499" s="12">
        <v>45355</v>
      </c>
      <c r="B499" s="13" t="s">
        <v>36</v>
      </c>
      <c r="C499" s="13" t="s">
        <v>563</v>
      </c>
      <c r="D499" s="13" t="s">
        <v>560</v>
      </c>
      <c r="E499" s="13" t="s">
        <v>16</v>
      </c>
      <c r="F499" s="14">
        <v>0</v>
      </c>
      <c r="G499" s="14">
        <v>150.0000</v>
      </c>
      <c r="H499" s="14">
        <v>0</v>
      </c>
      <c r="I499" s="14">
        <v>150.0000</v>
      </c>
      <c r="J499" s="13" t="s">
        <v>138</v>
      </c>
    </row>
    <row r="500" ht="10.95" customHeight="true" customFormat="true" s="8">
      <c r="A500" s="12">
        <v>45355</v>
      </c>
      <c r="B500" s="13" t="s">
        <v>36</v>
      </c>
      <c r="C500" s="13" t="s">
        <v>564</v>
      </c>
      <c r="D500" s="13" t="s">
        <v>560</v>
      </c>
      <c r="E500" s="13" t="s">
        <v>16</v>
      </c>
      <c r="F500" s="14">
        <v>0</v>
      </c>
      <c r="G500" s="14">
        <v>10587.5000</v>
      </c>
      <c r="H500" s="14">
        <v>0</v>
      </c>
      <c r="I500" s="14">
        <v>10587.5000</v>
      </c>
      <c r="J500" s="13" t="s">
        <v>23</v>
      </c>
    </row>
    <row r="501" ht="10.95" customHeight="true" customFormat="true" s="8">
      <c r="A501" s="12">
        <v>45355</v>
      </c>
      <c r="B501" s="13" t="s">
        <v>36</v>
      </c>
      <c r="C501" s="13" t="s">
        <v>565</v>
      </c>
      <c r="D501" s="13" t="s">
        <v>560</v>
      </c>
      <c r="E501" s="13" t="s">
        <v>16</v>
      </c>
      <c r="F501" s="14">
        <v>0</v>
      </c>
      <c r="G501" s="14">
        <v>3000.0000</v>
      </c>
      <c r="H501" s="14">
        <v>0</v>
      </c>
      <c r="I501" s="14">
        <v>3000.0000</v>
      </c>
      <c r="J501" s="13" t="s">
        <v>168</v>
      </c>
    </row>
    <row r="502" ht="10.95" customHeight="true" customFormat="true" s="8">
      <c r="A502" s="12">
        <v>45355</v>
      </c>
      <c r="B502" s="13" t="s">
        <v>36</v>
      </c>
      <c r="C502" s="13" t="s">
        <v>566</v>
      </c>
      <c r="D502" s="13" t="s">
        <v>560</v>
      </c>
      <c r="E502" s="13" t="s">
        <v>16</v>
      </c>
      <c r="F502" s="14">
        <v>0</v>
      </c>
      <c r="G502" s="14">
        <v>405.0000</v>
      </c>
      <c r="H502" s="14">
        <v>0</v>
      </c>
      <c r="I502" s="14">
        <v>405.0000</v>
      </c>
      <c r="J502" s="13" t="s">
        <v>168</v>
      </c>
    </row>
    <row r="503" ht="10.95" customHeight="true" customFormat="true" s="8">
      <c r="A503" s="12">
        <v>45355</v>
      </c>
      <c r="B503" s="13" t="s">
        <v>36</v>
      </c>
      <c r="C503" s="13" t="s">
        <v>567</v>
      </c>
      <c r="D503" s="13" t="s">
        <v>560</v>
      </c>
      <c r="E503" s="13" t="s">
        <v>16</v>
      </c>
      <c r="F503" s="14">
        <v>0</v>
      </c>
      <c r="G503" s="14">
        <v>75.0000</v>
      </c>
      <c r="H503" s="14">
        <v>0</v>
      </c>
      <c r="I503" s="14">
        <v>75.0000</v>
      </c>
      <c r="J503" s="13" t="s">
        <v>18</v>
      </c>
    </row>
    <row r="504" ht="10.95" customHeight="true" customFormat="true" s="8">
      <c r="A504" s="12">
        <v>45355</v>
      </c>
      <c r="B504" s="13" t="s">
        <v>36</v>
      </c>
      <c r="C504" s="13" t="s">
        <v>568</v>
      </c>
      <c r="D504" s="13" t="s">
        <v>569</v>
      </c>
      <c r="E504" s="13" t="s">
        <v>16</v>
      </c>
      <c r="F504" s="14">
        <v>0</v>
      </c>
      <c r="G504" s="14">
        <v>6000.0000</v>
      </c>
      <c r="H504" s="14">
        <v>0</v>
      </c>
      <c r="I504" s="14">
        <v>6000.0000</v>
      </c>
      <c r="J504" s="13" t="s">
        <v>391</v>
      </c>
    </row>
    <row r="505" ht="10.95" customHeight="true" customFormat="true" s="8">
      <c r="A505" s="12">
        <v>45355</v>
      </c>
      <c r="B505" s="13" t="s">
        <v>36</v>
      </c>
      <c r="C505" s="13" t="s">
        <v>570</v>
      </c>
      <c r="D505" s="13" t="s">
        <v>569</v>
      </c>
      <c r="E505" s="13" t="s">
        <v>16</v>
      </c>
      <c r="F505" s="14">
        <v>0</v>
      </c>
      <c r="G505" s="14">
        <v>4200.0000</v>
      </c>
      <c r="H505" s="14">
        <v>0</v>
      </c>
      <c r="I505" s="14">
        <v>4200.0000</v>
      </c>
      <c r="J505" s="13" t="s">
        <v>268</v>
      </c>
    </row>
    <row r="506" ht="10.95" customHeight="true" customFormat="true" s="8">
      <c r="A506" s="12">
        <v>45355</v>
      </c>
      <c r="B506" s="13" t="s">
        <v>36</v>
      </c>
      <c r="C506" s="13" t="s">
        <v>571</v>
      </c>
      <c r="D506" s="13" t="s">
        <v>569</v>
      </c>
      <c r="E506" s="13" t="s">
        <v>16</v>
      </c>
      <c r="F506" s="14">
        <v>0</v>
      </c>
      <c r="G506" s="14">
        <v>900.0000</v>
      </c>
      <c r="H506" s="14">
        <v>0</v>
      </c>
      <c r="I506" s="14">
        <v>900.0000</v>
      </c>
      <c r="J506" s="13" t="s">
        <v>268</v>
      </c>
    </row>
    <row r="507" ht="10.95" customHeight="true" customFormat="true" s="8">
      <c r="A507" s="12">
        <v>45355</v>
      </c>
      <c r="B507" s="13" t="s">
        <v>36</v>
      </c>
      <c r="C507" s="13" t="s">
        <v>572</v>
      </c>
      <c r="D507" s="13" t="s">
        <v>569</v>
      </c>
      <c r="E507" s="13" t="s">
        <v>16</v>
      </c>
      <c r="F507" s="14">
        <v>0</v>
      </c>
      <c r="G507" s="14">
        <v>2400.0000</v>
      </c>
      <c r="H507" s="14">
        <v>0</v>
      </c>
      <c r="I507" s="14">
        <v>2400.0000</v>
      </c>
      <c r="J507" s="13" t="s">
        <v>268</v>
      </c>
    </row>
    <row r="508" ht="10.95" customHeight="true" customFormat="true" s="8">
      <c r="A508" s="12">
        <v>45827</v>
      </c>
      <c r="B508" s="13" t="s">
        <v>36</v>
      </c>
      <c r="C508" s="13" t="s">
        <v>573</v>
      </c>
      <c r="D508" s="13" t="s">
        <v>574</v>
      </c>
      <c r="E508" s="13" t="s">
        <v>16</v>
      </c>
      <c r="F508" s="14">
        <v>0</v>
      </c>
      <c r="G508" s="14">
        <v>401.0500</v>
      </c>
      <c r="H508" s="14">
        <v>0</v>
      </c>
      <c r="I508" s="14">
        <v>401.0500</v>
      </c>
      <c r="J508" s="13" t="s">
        <v>46</v>
      </c>
    </row>
    <row r="509" ht="10.95" customHeight="true" customFormat="true" s="8">
      <c r="A509" s="12">
        <v>45827</v>
      </c>
      <c r="B509" s="13" t="s">
        <v>36</v>
      </c>
      <c r="C509" s="13" t="s">
        <v>575</v>
      </c>
      <c r="D509" s="13" t="s">
        <v>574</v>
      </c>
      <c r="E509" s="13" t="s">
        <v>16</v>
      </c>
      <c r="F509" s="14">
        <v>0</v>
      </c>
      <c r="G509" s="14">
        <v>259.4000</v>
      </c>
      <c r="H509" s="14">
        <v>0</v>
      </c>
      <c r="I509" s="14">
        <v>259.4000</v>
      </c>
      <c r="J509" s="13" t="s">
        <v>46</v>
      </c>
    </row>
    <row r="510" ht="10.95" customHeight="true" customFormat="true" s="8">
      <c r="A510" s="12">
        <v>45827</v>
      </c>
      <c r="B510" s="13" t="s">
        <v>36</v>
      </c>
      <c r="C510" s="13" t="s">
        <v>576</v>
      </c>
      <c r="D510" s="13" t="s">
        <v>574</v>
      </c>
      <c r="E510" s="13" t="s">
        <v>16</v>
      </c>
      <c r="F510" s="14">
        <v>0</v>
      </c>
      <c r="G510" s="14">
        <v>189.2200</v>
      </c>
      <c r="H510" s="14">
        <v>0</v>
      </c>
      <c r="I510" s="14">
        <v>189.2200</v>
      </c>
      <c r="J510" s="13" t="s">
        <v>46</v>
      </c>
    </row>
    <row r="511" ht="10.95" customHeight="true" customFormat="true" s="8">
      <c r="A511" s="12">
        <v>45827</v>
      </c>
      <c r="B511" s="13" t="s">
        <v>36</v>
      </c>
      <c r="C511" s="13" t="s">
        <v>577</v>
      </c>
      <c r="D511" s="13" t="s">
        <v>574</v>
      </c>
      <c r="E511" s="13" t="s">
        <v>16</v>
      </c>
      <c r="F511" s="14">
        <v>0</v>
      </c>
      <c r="G511" s="14">
        <v>439.9700</v>
      </c>
      <c r="H511" s="14">
        <v>0</v>
      </c>
      <c r="I511" s="14">
        <v>439.9700</v>
      </c>
      <c r="J511" s="13" t="s">
        <v>46</v>
      </c>
    </row>
    <row r="512" ht="10.95" customHeight="true" customFormat="true" s="8">
      <c r="A512" s="12">
        <v>45827</v>
      </c>
      <c r="B512" s="13" t="s">
        <v>36</v>
      </c>
      <c r="C512" s="13" t="s">
        <v>578</v>
      </c>
      <c r="D512" s="13" t="s">
        <v>574</v>
      </c>
      <c r="E512" s="13" t="s">
        <v>16</v>
      </c>
      <c r="F512" s="14">
        <v>0</v>
      </c>
      <c r="G512" s="14">
        <v>183.9100</v>
      </c>
      <c r="H512" s="14">
        <v>0</v>
      </c>
      <c r="I512" s="14">
        <v>183.9100</v>
      </c>
      <c r="J512" s="13" t="s">
        <v>46</v>
      </c>
    </row>
    <row r="513" ht="10.95" customHeight="true" customFormat="true" s="8">
      <c r="A513" s="15" t="s">
        <v>579</v>
      </c>
      <c r="B513" s="15"/>
      <c r="C513" s="15"/>
      <c r="D513" s="15"/>
      <c r="E513" s="15"/>
      <c r="F513" s="16">
        <f ca="1">SUM(F496:F512)</f>
        <v>0</v>
      </c>
      <c r="G513" s="16">
        <f ca="1">SUM(G496:G512)</f>
        <v>0</v>
      </c>
      <c r="H513" s="16">
        <f ca="1">SUM(H496:H512)</f>
        <v>0</v>
      </c>
      <c r="I513" s="16">
        <f ca="1">SUM(I496:I512)</f>
        <v>0</v>
      </c>
      <c r="J513" s="15"/>
    </row>
    <row r="514" ht="13.35" customHeight="true"/>
    <row r="515" ht="12.1" customHeight="true" customFormat="true" s="5">
      <c r="A515" s="17" t="s">
        <v>580</v>
      </c>
      <c r="B515" s="17"/>
      <c r="C515" s="17"/>
      <c r="D515" s="17"/>
      <c r="E515" s="17"/>
      <c r="F515" s="17"/>
      <c r="G515" s="17"/>
      <c r="H515" s="17"/>
      <c r="I515" s="17"/>
      <c r="J515" s="17"/>
    </row>
    <row r="516" ht="10.95" customHeight="true" customFormat="true" s="8">
      <c r="A516" s="9">
        <v>46185</v>
      </c>
      <c r="B516" s="10" t="s">
        <v>36</v>
      </c>
      <c r="C516" s="10" t="s">
        <v>581</v>
      </c>
      <c r="D516" s="10" t="s">
        <v>582</v>
      </c>
      <c r="E516" s="10" t="s">
        <v>16</v>
      </c>
      <c r="F516" s="11">
        <v>0</v>
      </c>
      <c r="G516" s="11">
        <v>4400.0000</v>
      </c>
      <c r="H516" s="11">
        <v>0</v>
      </c>
      <c r="I516" s="11">
        <v>4400.0000</v>
      </c>
      <c r="J516" s="10" t="s">
        <v>46</v>
      </c>
    </row>
    <row r="517" ht="10.95" customHeight="true" customFormat="true" s="8">
      <c r="A517" s="15" t="s">
        <v>583</v>
      </c>
      <c r="B517" s="15"/>
      <c r="C517" s="15"/>
      <c r="D517" s="15"/>
      <c r="E517" s="15"/>
      <c r="F517" s="16">
        <f ca="1">F516</f>
        <v>0</v>
      </c>
      <c r="G517" s="16">
        <f ca="1">G516</f>
        <v>0</v>
      </c>
      <c r="H517" s="16">
        <f ca="1">H516</f>
        <v>0</v>
      </c>
      <c r="I517" s="16">
        <f ca="1">I516</f>
        <v>0</v>
      </c>
      <c r="J517" s="15"/>
    </row>
    <row r="518" ht="13.35" customHeight="true"/>
    <row r="519" ht="12.1" customHeight="true" customFormat="true" s="5">
      <c r="A519" s="17" t="s">
        <v>584</v>
      </c>
      <c r="B519" s="17"/>
      <c r="C519" s="17"/>
      <c r="D519" s="17"/>
      <c r="E519" s="17"/>
      <c r="F519" s="17"/>
      <c r="G519" s="17"/>
      <c r="H519" s="17"/>
      <c r="I519" s="17"/>
      <c r="J519" s="17"/>
    </row>
    <row r="520" ht="10.95" customHeight="true" customFormat="true" s="8">
      <c r="A520" s="9">
        <v>45405</v>
      </c>
      <c r="B520" s="10" t="s">
        <v>36</v>
      </c>
      <c r="C520" s="10" t="s">
        <v>585</v>
      </c>
      <c r="D520" s="10" t="s">
        <v>586</v>
      </c>
      <c r="E520" s="10" t="s">
        <v>16</v>
      </c>
      <c r="F520" s="11">
        <v>0</v>
      </c>
      <c r="G520" s="11">
        <v>12640.4400</v>
      </c>
      <c r="H520" s="11">
        <v>0</v>
      </c>
      <c r="I520" s="11">
        <v>12640.4400</v>
      </c>
      <c r="J520" s="10" t="s">
        <v>23</v>
      </c>
    </row>
    <row r="521" ht="10.95" customHeight="true" customFormat="true" s="8">
      <c r="A521" s="12">
        <v>45462</v>
      </c>
      <c r="B521" s="13" t="s">
        <v>36</v>
      </c>
      <c r="C521" s="13" t="s">
        <v>587</v>
      </c>
      <c r="D521" s="13" t="s">
        <v>588</v>
      </c>
      <c r="E521" s="13" t="s">
        <v>16</v>
      </c>
      <c r="F521" s="14">
        <v>0</v>
      </c>
      <c r="G521" s="14">
        <v>816.5300</v>
      </c>
      <c r="H521" s="14">
        <v>0</v>
      </c>
      <c r="I521" s="14">
        <v>816.5300</v>
      </c>
      <c r="J521" s="13" t="s">
        <v>46</v>
      </c>
    </row>
    <row r="522" ht="10.95" customHeight="true" customFormat="true" s="8">
      <c r="A522" s="15" t="s">
        <v>589</v>
      </c>
      <c r="B522" s="15"/>
      <c r="C522" s="15"/>
      <c r="D522" s="15"/>
      <c r="E522" s="15"/>
      <c r="F522" s="16">
        <f ca="1">SUM(F520:F521)</f>
        <v>0</v>
      </c>
      <c r="G522" s="16">
        <f ca="1">SUM(G520:G521)</f>
        <v>0</v>
      </c>
      <c r="H522" s="16">
        <f ca="1">SUM(H520:H521)</f>
        <v>0</v>
      </c>
      <c r="I522" s="16">
        <f ca="1">SUM(I520:I521)</f>
        <v>0</v>
      </c>
      <c r="J522" s="15"/>
    </row>
    <row r="523" ht="13.35" customHeight="true"/>
    <row r="524" ht="12.1" customHeight="true" customFormat="true" s="5">
      <c r="A524" s="17" t="s">
        <v>590</v>
      </c>
      <c r="B524" s="17"/>
      <c r="C524" s="17"/>
      <c r="D524" s="17"/>
      <c r="E524" s="17"/>
      <c r="F524" s="17"/>
      <c r="G524" s="17"/>
      <c r="H524" s="17"/>
      <c r="I524" s="17"/>
      <c r="J524" s="17"/>
    </row>
    <row r="525" ht="10.95" customHeight="true" customFormat="true" s="8">
      <c r="A525" s="9">
        <v>45583</v>
      </c>
      <c r="B525" s="10" t="s">
        <v>36</v>
      </c>
      <c r="C525" s="10" t="s">
        <v>591</v>
      </c>
      <c r="D525" s="10" t="s">
        <v>592</v>
      </c>
      <c r="E525" s="10" t="s">
        <v>16</v>
      </c>
      <c r="F525" s="11">
        <v>0</v>
      </c>
      <c r="G525" s="11">
        <v>3791.0800</v>
      </c>
      <c r="H525" s="11">
        <v>0</v>
      </c>
      <c r="I525" s="11">
        <v>3791.0800</v>
      </c>
      <c r="J525" s="10" t="s">
        <v>46</v>
      </c>
    </row>
    <row r="526" ht="10.95" customHeight="true" customFormat="true" s="8">
      <c r="A526" s="15" t="s">
        <v>593</v>
      </c>
      <c r="B526" s="15"/>
      <c r="C526" s="15"/>
      <c r="D526" s="15"/>
      <c r="E526" s="15"/>
      <c r="F526" s="16">
        <f ca="1">F525</f>
        <v>0</v>
      </c>
      <c r="G526" s="16">
        <f ca="1">G525</f>
        <v>0</v>
      </c>
      <c r="H526" s="16">
        <f ca="1">H525</f>
        <v>0</v>
      </c>
      <c r="I526" s="16">
        <f ca="1">I525</f>
        <v>0</v>
      </c>
      <c r="J526" s="15"/>
    </row>
    <row r="527" ht="13.35" customHeight="true"/>
    <row r="528" ht="12.1" customHeight="true" customFormat="true" s="5">
      <c r="A528" s="17" t="s">
        <v>594</v>
      </c>
      <c r="B528" s="17"/>
      <c r="C528" s="17"/>
      <c r="D528" s="17"/>
      <c r="E528" s="17"/>
      <c r="F528" s="17"/>
      <c r="G528" s="17"/>
      <c r="H528" s="17"/>
      <c r="I528" s="17"/>
      <c r="J528" s="17"/>
    </row>
    <row r="529" ht="10.95" customHeight="true" customFormat="true" s="8">
      <c r="A529" s="9">
        <v>45505</v>
      </c>
      <c r="B529" s="10" t="s">
        <v>36</v>
      </c>
      <c r="C529" s="10" t="s">
        <v>595</v>
      </c>
      <c r="D529" s="10" t="s">
        <v>596</v>
      </c>
      <c r="E529" s="10" t="s">
        <v>16</v>
      </c>
      <c r="F529" s="11">
        <v>0</v>
      </c>
      <c r="G529" s="11">
        <v>1863.5400</v>
      </c>
      <c r="H529" s="11">
        <v>0</v>
      </c>
      <c r="I529" s="11">
        <v>1863.5400</v>
      </c>
      <c r="J529" s="10" t="s">
        <v>46</v>
      </c>
    </row>
    <row r="530" ht="10.95" customHeight="true" customFormat="true" s="8">
      <c r="A530" s="12">
        <v>45505</v>
      </c>
      <c r="B530" s="13" t="s">
        <v>36</v>
      </c>
      <c r="C530" s="13" t="s">
        <v>597</v>
      </c>
      <c r="D530" s="13" t="s">
        <v>598</v>
      </c>
      <c r="E530" s="13" t="s">
        <v>16</v>
      </c>
      <c r="F530" s="14">
        <v>0</v>
      </c>
      <c r="G530" s="14">
        <v>177.4500</v>
      </c>
      <c r="H530" s="14">
        <v>0</v>
      </c>
      <c r="I530" s="14">
        <v>177.4500</v>
      </c>
      <c r="J530" s="13" t="s">
        <v>46</v>
      </c>
    </row>
    <row r="531" ht="10.95" customHeight="true" customFormat="true" s="8">
      <c r="A531" s="15" t="s">
        <v>599</v>
      </c>
      <c r="B531" s="15"/>
      <c r="C531" s="15"/>
      <c r="D531" s="15"/>
      <c r="E531" s="15"/>
      <c r="F531" s="16">
        <f ca="1">SUM(F529:F530)</f>
        <v>0</v>
      </c>
      <c r="G531" s="16">
        <f ca="1">SUM(G529:G530)</f>
        <v>0</v>
      </c>
      <c r="H531" s="16">
        <f ca="1">SUM(H529:H530)</f>
        <v>0</v>
      </c>
      <c r="I531" s="16">
        <f ca="1">SUM(I529:I530)</f>
        <v>0</v>
      </c>
      <c r="J531" s="15"/>
    </row>
    <row r="532" ht="13.35" customHeight="true"/>
    <row r="533" ht="12.1" customHeight="true" customFormat="true" s="5">
      <c r="A533" s="17" t="s">
        <v>600</v>
      </c>
      <c r="B533" s="17"/>
      <c r="C533" s="17"/>
      <c r="D533" s="17"/>
      <c r="E533" s="17"/>
      <c r="F533" s="17"/>
      <c r="G533" s="17"/>
      <c r="H533" s="17"/>
      <c r="I533" s="17"/>
      <c r="J533" s="17"/>
    </row>
    <row r="534" ht="10.95" customHeight="true" customFormat="true" s="8">
      <c r="A534" s="9">
        <v>46153</v>
      </c>
      <c r="B534" s="10" t="s">
        <v>36</v>
      </c>
      <c r="C534" s="10" t="s">
        <v>601</v>
      </c>
      <c r="D534" s="10" t="s">
        <v>602</v>
      </c>
      <c r="E534" s="10" t="s">
        <v>16</v>
      </c>
      <c r="F534" s="11">
        <v>0</v>
      </c>
      <c r="G534" s="11">
        <v>1863.5400</v>
      </c>
      <c r="H534" s="11">
        <v>0</v>
      </c>
      <c r="I534" s="11">
        <v>1863.5400</v>
      </c>
      <c r="J534" s="10" t="s">
        <v>46</v>
      </c>
    </row>
    <row r="535" ht="10.95" customHeight="true" customFormat="true" s="8">
      <c r="A535" s="15" t="s">
        <v>603</v>
      </c>
      <c r="B535" s="15"/>
      <c r="C535" s="15"/>
      <c r="D535" s="15"/>
      <c r="E535" s="15"/>
      <c r="F535" s="16">
        <f ca="1">F534</f>
        <v>0</v>
      </c>
      <c r="G535" s="16">
        <f ca="1">G534</f>
        <v>0</v>
      </c>
      <c r="H535" s="16">
        <f ca="1">H534</f>
        <v>0</v>
      </c>
      <c r="I535" s="16">
        <f ca="1">I534</f>
        <v>0</v>
      </c>
      <c r="J535" s="15"/>
    </row>
    <row r="536" ht="13.35" customHeight="true"/>
    <row r="537" ht="12.1" customHeight="true" customFormat="true" s="5">
      <c r="A537" s="17" t="s">
        <v>604</v>
      </c>
      <c r="B537" s="17"/>
      <c r="C537" s="17"/>
      <c r="D537" s="17"/>
      <c r="E537" s="17"/>
      <c r="F537" s="17"/>
      <c r="G537" s="17"/>
      <c r="H537" s="17"/>
      <c r="I537" s="17"/>
      <c r="J537" s="17"/>
    </row>
    <row r="538" ht="10.95" customHeight="true" customFormat="true" s="8">
      <c r="A538" s="9">
        <v>45338</v>
      </c>
      <c r="B538" s="10" t="s">
        <v>36</v>
      </c>
      <c r="C538" s="10" t="s">
        <v>605</v>
      </c>
      <c r="D538" s="10" t="s">
        <v>606</v>
      </c>
      <c r="E538" s="10" t="s">
        <v>16</v>
      </c>
      <c r="F538" s="11">
        <v>0</v>
      </c>
      <c r="G538" s="11">
        <v>1200.0000</v>
      </c>
      <c r="H538" s="11">
        <v>0</v>
      </c>
      <c r="I538" s="11">
        <v>1200.0000</v>
      </c>
      <c r="J538" s="10" t="s">
        <v>268</v>
      </c>
    </row>
    <row r="539" ht="10.95" customHeight="true" customFormat="true" s="8">
      <c r="A539" s="12">
        <v>45429</v>
      </c>
      <c r="B539" s="13" t="s">
        <v>36</v>
      </c>
      <c r="C539" s="13" t="s">
        <v>607</v>
      </c>
      <c r="D539" s="13" t="s">
        <v>608</v>
      </c>
      <c r="E539" s="13" t="s">
        <v>16</v>
      </c>
      <c r="F539" s="14">
        <v>0</v>
      </c>
      <c r="G539" s="14">
        <v>1320.0000</v>
      </c>
      <c r="H539" s="14">
        <v>0</v>
      </c>
      <c r="I539" s="14">
        <v>1320.0000</v>
      </c>
      <c r="J539" s="13" t="s">
        <v>218</v>
      </c>
    </row>
    <row r="540" ht="10.95" customHeight="true" customFormat="true" s="8">
      <c r="A540" s="12">
        <v>45429</v>
      </c>
      <c r="B540" s="13" t="s">
        <v>36</v>
      </c>
      <c r="C540" s="13" t="s">
        <v>609</v>
      </c>
      <c r="D540" s="13" t="s">
        <v>608</v>
      </c>
      <c r="E540" s="13" t="s">
        <v>16</v>
      </c>
      <c r="F540" s="14">
        <v>0</v>
      </c>
      <c r="G540" s="14">
        <v>2340.0000</v>
      </c>
      <c r="H540" s="14">
        <v>0</v>
      </c>
      <c r="I540" s="14">
        <v>2340.0000</v>
      </c>
      <c r="J540" s="13" t="s">
        <v>218</v>
      </c>
    </row>
    <row r="541" ht="10.95" customHeight="true" customFormat="true" s="8">
      <c r="A541" s="12">
        <v>45429</v>
      </c>
      <c r="B541" s="13" t="s">
        <v>36</v>
      </c>
      <c r="C541" s="13" t="s">
        <v>610</v>
      </c>
      <c r="D541" s="13" t="s">
        <v>608</v>
      </c>
      <c r="E541" s="13" t="s">
        <v>16</v>
      </c>
      <c r="F541" s="14">
        <v>0</v>
      </c>
      <c r="G541" s="14">
        <v>390.0000</v>
      </c>
      <c r="H541" s="14">
        <v>0</v>
      </c>
      <c r="I541" s="14">
        <v>390.0000</v>
      </c>
      <c r="J541" s="13" t="s">
        <v>46</v>
      </c>
    </row>
    <row r="542" ht="10.95" customHeight="true" customFormat="true" s="8">
      <c r="A542" s="12">
        <v>45429</v>
      </c>
      <c r="B542" s="13" t="s">
        <v>36</v>
      </c>
      <c r="C542" s="13" t="s">
        <v>611</v>
      </c>
      <c r="D542" s="13" t="s">
        <v>608</v>
      </c>
      <c r="E542" s="13" t="s">
        <v>16</v>
      </c>
      <c r="F542" s="14">
        <v>0</v>
      </c>
      <c r="G542" s="14">
        <v>2331.0000</v>
      </c>
      <c r="H542" s="14">
        <v>0</v>
      </c>
      <c r="I542" s="14">
        <v>2331.0000</v>
      </c>
      <c r="J542" s="13" t="s">
        <v>20</v>
      </c>
    </row>
    <row r="543" ht="10.95" customHeight="true" customFormat="true" s="8">
      <c r="A543" s="12">
        <v>45429</v>
      </c>
      <c r="B543" s="13" t="s">
        <v>36</v>
      </c>
      <c r="C543" s="13" t="s">
        <v>612</v>
      </c>
      <c r="D543" s="13" t="s">
        <v>608</v>
      </c>
      <c r="E543" s="13" t="s">
        <v>16</v>
      </c>
      <c r="F543" s="14">
        <v>0</v>
      </c>
      <c r="G543" s="14">
        <v>11889.5000</v>
      </c>
      <c r="H543" s="14">
        <v>0</v>
      </c>
      <c r="I543" s="14">
        <v>11889.5000</v>
      </c>
      <c r="J543" s="13" t="s">
        <v>23</v>
      </c>
    </row>
    <row r="544" ht="10.95" customHeight="true" customFormat="true" s="8">
      <c r="A544" s="12">
        <v>45429</v>
      </c>
      <c r="B544" s="13" t="s">
        <v>36</v>
      </c>
      <c r="C544" s="13" t="s">
        <v>613</v>
      </c>
      <c r="D544" s="13" t="s">
        <v>608</v>
      </c>
      <c r="E544" s="13" t="s">
        <v>16</v>
      </c>
      <c r="F544" s="14">
        <v>0</v>
      </c>
      <c r="G544" s="14">
        <v>576.0000</v>
      </c>
      <c r="H544" s="14">
        <v>0</v>
      </c>
      <c r="I544" s="14">
        <v>576.0000</v>
      </c>
      <c r="J544" s="13" t="s">
        <v>140</v>
      </c>
    </row>
    <row r="545" ht="10.95" customHeight="true" customFormat="true" s="8">
      <c r="A545" s="12">
        <v>45429</v>
      </c>
      <c r="B545" s="13" t="s">
        <v>36</v>
      </c>
      <c r="C545" s="13" t="s">
        <v>614</v>
      </c>
      <c r="D545" s="13" t="s">
        <v>608</v>
      </c>
      <c r="E545" s="13" t="s">
        <v>16</v>
      </c>
      <c r="F545" s="14">
        <v>0</v>
      </c>
      <c r="G545" s="14">
        <v>4050.0000</v>
      </c>
      <c r="H545" s="14">
        <v>0</v>
      </c>
      <c r="I545" s="14">
        <v>4050.0000</v>
      </c>
      <c r="J545" s="13" t="s">
        <v>168</v>
      </c>
    </row>
    <row r="546" ht="10.95" customHeight="true" customFormat="true" s="8">
      <c r="A546" s="12">
        <v>45440</v>
      </c>
      <c r="B546" s="13" t="s">
        <v>36</v>
      </c>
      <c r="C546" s="13" t="s">
        <v>615</v>
      </c>
      <c r="D546" s="13" t="s">
        <v>616</v>
      </c>
      <c r="E546" s="13" t="s">
        <v>16</v>
      </c>
      <c r="F546" s="14">
        <v>0</v>
      </c>
      <c r="G546" s="14">
        <v>1400.0000</v>
      </c>
      <c r="H546" s="14">
        <v>0</v>
      </c>
      <c r="I546" s="14">
        <v>1400.0000</v>
      </c>
      <c r="J546" s="13" t="s">
        <v>46</v>
      </c>
    </row>
    <row r="547" ht="10.95" customHeight="true" customFormat="true" s="8">
      <c r="A547" s="12">
        <v>45538</v>
      </c>
      <c r="B547" s="13" t="s">
        <v>36</v>
      </c>
      <c r="C547" s="13" t="s">
        <v>617</v>
      </c>
      <c r="D547" s="13" t="s">
        <v>618</v>
      </c>
      <c r="E547" s="13" t="s">
        <v>16</v>
      </c>
      <c r="F547" s="14">
        <v>0</v>
      </c>
      <c r="G547" s="14">
        <v>3791.0800</v>
      </c>
      <c r="H547" s="14">
        <v>0</v>
      </c>
      <c r="I547" s="14">
        <v>3791.0800</v>
      </c>
      <c r="J547" s="13" t="s">
        <v>125</v>
      </c>
    </row>
    <row r="548" ht="10.95" customHeight="true" customFormat="true" s="8">
      <c r="A548" s="12">
        <v>45583</v>
      </c>
      <c r="B548" s="13" t="s">
        <v>72</v>
      </c>
      <c r="C548" s="13" t="s">
        <v>619</v>
      </c>
      <c r="D548" s="13" t="s">
        <v>618</v>
      </c>
      <c r="E548" s="13" t="s">
        <v>16</v>
      </c>
      <c r="F548" s="14">
        <v>3791.0800</v>
      </c>
      <c r="G548" s="14">
        <v>0</v>
      </c>
      <c r="H548" s="14">
        <v>3791.0800</v>
      </c>
      <c r="I548" s="14">
        <v>0</v>
      </c>
      <c r="J548" s="13" t="s">
        <v>46</v>
      </c>
    </row>
    <row r="549" ht="10.95" customHeight="true" customFormat="true" s="8">
      <c r="A549" s="12">
        <v>45583</v>
      </c>
      <c r="B549" s="13" t="s">
        <v>36</v>
      </c>
      <c r="C549" s="13" t="s">
        <v>620</v>
      </c>
      <c r="D549" s="13" t="s">
        <v>621</v>
      </c>
      <c r="E549" s="13" t="s">
        <v>16</v>
      </c>
      <c r="F549" s="14">
        <v>0</v>
      </c>
      <c r="G549" s="14">
        <v>11077.5000</v>
      </c>
      <c r="H549" s="14">
        <v>0</v>
      </c>
      <c r="I549" s="14">
        <v>11077.5000</v>
      </c>
      <c r="J549" s="13" t="s">
        <v>46</v>
      </c>
    </row>
    <row r="550" ht="10.95" customHeight="true" customFormat="true" s="8">
      <c r="A550" s="12">
        <v>45590</v>
      </c>
      <c r="B550" s="13" t="s">
        <v>36</v>
      </c>
      <c r="C550" s="13" t="s">
        <v>620</v>
      </c>
      <c r="D550" s="13" t="s">
        <v>622</v>
      </c>
      <c r="E550" s="13" t="s">
        <v>16</v>
      </c>
      <c r="F550" s="14">
        <v>0</v>
      </c>
      <c r="G550" s="14">
        <v>10777.5000</v>
      </c>
      <c r="H550" s="14">
        <v>0</v>
      </c>
      <c r="I550" s="14">
        <v>10777.5000</v>
      </c>
      <c r="J550" s="13" t="s">
        <v>46</v>
      </c>
    </row>
    <row r="551" ht="10.95" customHeight="true" customFormat="true" s="8">
      <c r="A551" s="12">
        <v>45593</v>
      </c>
      <c r="B551" s="13" t="s">
        <v>36</v>
      </c>
      <c r="C551" s="13" t="s">
        <v>623</v>
      </c>
      <c r="D551" s="13" t="s">
        <v>624</v>
      </c>
      <c r="E551" s="13" t="s">
        <v>16</v>
      </c>
      <c r="F551" s="14">
        <v>0</v>
      </c>
      <c r="G551" s="14">
        <v>240.0000</v>
      </c>
      <c r="H551" s="14">
        <v>0</v>
      </c>
      <c r="I551" s="14">
        <v>240.0000</v>
      </c>
      <c r="J551" s="13" t="s">
        <v>46</v>
      </c>
    </row>
    <row r="552" ht="10.95" customHeight="true" customFormat="true" s="8">
      <c r="A552" s="12">
        <v>45698</v>
      </c>
      <c r="B552" s="13" t="s">
        <v>36</v>
      </c>
      <c r="C552" s="13" t="s">
        <v>625</v>
      </c>
      <c r="D552" s="13" t="s">
        <v>626</v>
      </c>
      <c r="E552" s="13" t="s">
        <v>16</v>
      </c>
      <c r="F552" s="14">
        <v>0</v>
      </c>
      <c r="G552" s="14">
        <v>548.4000</v>
      </c>
      <c r="H552" s="14">
        <v>0</v>
      </c>
      <c r="I552" s="14">
        <v>548.4000</v>
      </c>
      <c r="J552" s="13" t="s">
        <v>18</v>
      </c>
    </row>
    <row r="553" ht="10.95" customHeight="true" customFormat="true" s="8">
      <c r="A553" s="12">
        <v>45708</v>
      </c>
      <c r="B553" s="13" t="s">
        <v>36</v>
      </c>
      <c r="C553" s="13" t="s">
        <v>620</v>
      </c>
      <c r="D553" s="13" t="s">
        <v>627</v>
      </c>
      <c r="E553" s="13" t="s">
        <v>16</v>
      </c>
      <c r="F553" s="14">
        <v>0</v>
      </c>
      <c r="G553" s="14">
        <v>11077.5000</v>
      </c>
      <c r="H553" s="14">
        <v>0</v>
      </c>
      <c r="I553" s="14">
        <v>11077.5000</v>
      </c>
      <c r="J553" s="13" t="s">
        <v>125</v>
      </c>
    </row>
    <row r="554" ht="10.95" customHeight="true" customFormat="true" s="8">
      <c r="A554" s="12">
        <v>45717</v>
      </c>
      <c r="B554" s="13" t="s">
        <v>36</v>
      </c>
      <c r="C554" s="13" t="s">
        <v>628</v>
      </c>
      <c r="D554" s="13" t="s">
        <v>629</v>
      </c>
      <c r="E554" s="13" t="s">
        <v>16</v>
      </c>
      <c r="F554" s="14">
        <v>0</v>
      </c>
      <c r="G554" s="14">
        <v>22.0900</v>
      </c>
      <c r="H554" s="14">
        <v>0</v>
      </c>
      <c r="I554" s="14">
        <v>22.0900</v>
      </c>
      <c r="J554" s="13" t="s">
        <v>46</v>
      </c>
    </row>
    <row r="555" ht="10.95" customHeight="true" customFormat="true" s="8">
      <c r="A555" s="12">
        <v>45717</v>
      </c>
      <c r="B555" s="13" t="s">
        <v>36</v>
      </c>
      <c r="C555" s="13" t="s">
        <v>630</v>
      </c>
      <c r="D555" s="13" t="s">
        <v>629</v>
      </c>
      <c r="E555" s="13" t="s">
        <v>16</v>
      </c>
      <c r="F555" s="14">
        <v>0</v>
      </c>
      <c r="G555" s="14">
        <v>2.9100</v>
      </c>
      <c r="H555" s="14">
        <v>0</v>
      </c>
      <c r="I555" s="14">
        <v>2.9100</v>
      </c>
      <c r="J555" s="13" t="s">
        <v>46</v>
      </c>
    </row>
    <row r="556" ht="10.95" customHeight="true" customFormat="true" s="8">
      <c r="A556" s="12">
        <v>45884</v>
      </c>
      <c r="B556" s="13" t="s">
        <v>36</v>
      </c>
      <c r="C556" s="13" t="s">
        <v>631</v>
      </c>
      <c r="D556" s="13" t="s">
        <v>632</v>
      </c>
      <c r="E556" s="13" t="s">
        <v>16</v>
      </c>
      <c r="F556" s="14">
        <v>0</v>
      </c>
      <c r="G556" s="14">
        <v>7500.0000</v>
      </c>
      <c r="H556" s="14">
        <v>0</v>
      </c>
      <c r="I556" s="14">
        <v>7500.0000</v>
      </c>
      <c r="J556" s="13" t="s">
        <v>46</v>
      </c>
    </row>
    <row r="557" ht="10.95" customHeight="true" customFormat="true" s="8">
      <c r="A557" s="12">
        <v>45884</v>
      </c>
      <c r="B557" s="13" t="s">
        <v>36</v>
      </c>
      <c r="C557" s="13" t="s">
        <v>633</v>
      </c>
      <c r="D557" s="13" t="s">
        <v>632</v>
      </c>
      <c r="E557" s="13" t="s">
        <v>16</v>
      </c>
      <c r="F557" s="14">
        <v>0</v>
      </c>
      <c r="G557" s="14">
        <v>3000.0000</v>
      </c>
      <c r="H557" s="14">
        <v>0</v>
      </c>
      <c r="I557" s="14">
        <v>3000.0000</v>
      </c>
      <c r="J557" s="13" t="s">
        <v>46</v>
      </c>
    </row>
    <row r="558" ht="10.95" customHeight="true" customFormat="true" s="8">
      <c r="A558" s="12">
        <v>45978</v>
      </c>
      <c r="B558" s="13" t="s">
        <v>36</v>
      </c>
      <c r="C558" s="13" t="s">
        <v>634</v>
      </c>
      <c r="D558" s="13" t="s">
        <v>635</v>
      </c>
      <c r="E558" s="13" t="s">
        <v>16</v>
      </c>
      <c r="F558" s="14">
        <v>0</v>
      </c>
      <c r="G558" s="14">
        <v>1312.5000</v>
      </c>
      <c r="H558" s="14">
        <v>0</v>
      </c>
      <c r="I558" s="14">
        <v>1312.5000</v>
      </c>
      <c r="J558" s="13" t="s">
        <v>46</v>
      </c>
    </row>
    <row r="559" ht="10.95" customHeight="true" customFormat="true" s="8">
      <c r="A559" s="12">
        <v>46030</v>
      </c>
      <c r="B559" s="13" t="s">
        <v>36</v>
      </c>
      <c r="C559" s="13" t="s">
        <v>636</v>
      </c>
      <c r="D559" s="13" t="s">
        <v>637</v>
      </c>
      <c r="E559" s="13" t="s">
        <v>16</v>
      </c>
      <c r="F559" s="14">
        <v>0</v>
      </c>
      <c r="G559" s="14">
        <v>458.4600</v>
      </c>
      <c r="H559" s="14">
        <v>0</v>
      </c>
      <c r="I559" s="14">
        <v>458.4600</v>
      </c>
      <c r="J559" s="13" t="s">
        <v>46</v>
      </c>
    </row>
    <row r="560" ht="10.95" customHeight="true" customFormat="true" s="8">
      <c r="A560" s="12">
        <v>46037</v>
      </c>
      <c r="B560" s="13" t="s">
        <v>36</v>
      </c>
      <c r="C560" s="13" t="s">
        <v>638</v>
      </c>
      <c r="D560" s="13" t="s">
        <v>639</v>
      </c>
      <c r="E560" s="13" t="s">
        <v>16</v>
      </c>
      <c r="F560" s="14">
        <v>0</v>
      </c>
      <c r="G560" s="14">
        <v>184320.0000</v>
      </c>
      <c r="H560" s="14">
        <v>0</v>
      </c>
      <c r="I560" s="14">
        <v>184320.0000</v>
      </c>
      <c r="J560" s="13" t="s">
        <v>46</v>
      </c>
    </row>
    <row r="561" ht="10.95" customHeight="true" customFormat="true" s="8">
      <c r="A561" s="12">
        <v>46037</v>
      </c>
      <c r="B561" s="13" t="s">
        <v>36</v>
      </c>
      <c r="C561" s="13" t="s">
        <v>640</v>
      </c>
      <c r="D561" s="13" t="s">
        <v>639</v>
      </c>
      <c r="E561" s="13" t="s">
        <v>16</v>
      </c>
      <c r="F561" s="14">
        <v>0</v>
      </c>
      <c r="G561" s="14">
        <v>6000.0000</v>
      </c>
      <c r="H561" s="14">
        <v>0</v>
      </c>
      <c r="I561" s="14">
        <v>6000.0000</v>
      </c>
      <c r="J561" s="13" t="s">
        <v>46</v>
      </c>
    </row>
    <row r="562" ht="10.95" customHeight="true" customFormat="true" s="8">
      <c r="A562" s="12">
        <v>46037</v>
      </c>
      <c r="B562" s="13" t="s">
        <v>36</v>
      </c>
      <c r="C562" s="13" t="s">
        <v>641</v>
      </c>
      <c r="D562" s="13" t="s">
        <v>639</v>
      </c>
      <c r="E562" s="13" t="s">
        <v>16</v>
      </c>
      <c r="F562" s="14">
        <v>0</v>
      </c>
      <c r="G562" s="14">
        <v>4910.1000</v>
      </c>
      <c r="H562" s="14">
        <v>0</v>
      </c>
      <c r="I562" s="14">
        <v>4910.1000</v>
      </c>
      <c r="J562" s="13" t="s">
        <v>46</v>
      </c>
    </row>
    <row r="563" ht="10.95" customHeight="true" customFormat="true" s="8">
      <c r="A563" s="12">
        <v>46037</v>
      </c>
      <c r="B563" s="13" t="s">
        <v>36</v>
      </c>
      <c r="C563" s="13" t="s">
        <v>642</v>
      </c>
      <c r="D563" s="13" t="s">
        <v>643</v>
      </c>
      <c r="E563" s="13" t="s">
        <v>16</v>
      </c>
      <c r="F563" s="14">
        <v>0</v>
      </c>
      <c r="G563" s="14">
        <v>132000.0000</v>
      </c>
      <c r="H563" s="14">
        <v>0</v>
      </c>
      <c r="I563" s="14">
        <v>132000.0000</v>
      </c>
      <c r="J563" s="13" t="s">
        <v>46</v>
      </c>
    </row>
    <row r="564" ht="10.95" customHeight="true" customFormat="true" s="8">
      <c r="A564" s="12">
        <v>46037</v>
      </c>
      <c r="B564" s="13" t="s">
        <v>36</v>
      </c>
      <c r="C564" s="13" t="s">
        <v>640</v>
      </c>
      <c r="D564" s="13" t="s">
        <v>643</v>
      </c>
      <c r="E564" s="13" t="s">
        <v>16</v>
      </c>
      <c r="F564" s="14">
        <v>0</v>
      </c>
      <c r="G564" s="14">
        <v>4320.0000</v>
      </c>
      <c r="H564" s="14">
        <v>0</v>
      </c>
      <c r="I564" s="14">
        <v>4320.0000</v>
      </c>
      <c r="J564" s="13" t="s">
        <v>46</v>
      </c>
    </row>
    <row r="565" ht="10.95" customHeight="true" customFormat="true" s="8">
      <c r="A565" s="12">
        <v>46037</v>
      </c>
      <c r="B565" s="13" t="s">
        <v>36</v>
      </c>
      <c r="C565" s="13" t="s">
        <v>641</v>
      </c>
      <c r="D565" s="13" t="s">
        <v>643</v>
      </c>
      <c r="E565" s="13" t="s">
        <v>16</v>
      </c>
      <c r="F565" s="14">
        <v>0</v>
      </c>
      <c r="G565" s="14">
        <v>2831.4000</v>
      </c>
      <c r="H565" s="14">
        <v>0</v>
      </c>
      <c r="I565" s="14">
        <v>2831.4000</v>
      </c>
      <c r="J565" s="13" t="s">
        <v>46</v>
      </c>
    </row>
    <row r="566" ht="10.95" customHeight="true" customFormat="true" s="8">
      <c r="A566" s="12">
        <v>46136</v>
      </c>
      <c r="B566" s="13" t="s">
        <v>36</v>
      </c>
      <c r="C566" s="13" t="s">
        <v>644</v>
      </c>
      <c r="D566" s="13" t="s">
        <v>645</v>
      </c>
      <c r="E566" s="13" t="s">
        <v>16</v>
      </c>
      <c r="F566" s="14">
        <v>0</v>
      </c>
      <c r="G566" s="14">
        <v>378.0000</v>
      </c>
      <c r="H566" s="14">
        <v>0</v>
      </c>
      <c r="I566" s="14">
        <v>378.0000</v>
      </c>
      <c r="J566" s="13" t="s">
        <v>46</v>
      </c>
    </row>
    <row r="567" ht="10.95" customHeight="true" customFormat="true" s="8">
      <c r="A567" s="12">
        <v>46155</v>
      </c>
      <c r="B567" s="13" t="s">
        <v>36</v>
      </c>
      <c r="C567" s="13" t="s">
        <v>646</v>
      </c>
      <c r="D567" s="13" t="s">
        <v>647</v>
      </c>
      <c r="E567" s="13" t="s">
        <v>16</v>
      </c>
      <c r="F567" s="14">
        <v>0</v>
      </c>
      <c r="G567" s="14">
        <v>1536.5000</v>
      </c>
      <c r="H567" s="14">
        <v>0</v>
      </c>
      <c r="I567" s="14">
        <v>1536.5000</v>
      </c>
      <c r="J567" s="13" t="s">
        <v>46</v>
      </c>
    </row>
    <row r="568" ht="10.95" customHeight="true" customFormat="true" s="8">
      <c r="A568" s="12">
        <v>46155</v>
      </c>
      <c r="B568" s="13" t="s">
        <v>36</v>
      </c>
      <c r="C568" s="13" t="s">
        <v>648</v>
      </c>
      <c r="D568" s="13" t="s">
        <v>647</v>
      </c>
      <c r="E568" s="13" t="s">
        <v>16</v>
      </c>
      <c r="F568" s="14">
        <v>0</v>
      </c>
      <c r="G568" s="14">
        <v>768.2500</v>
      </c>
      <c r="H568" s="14">
        <v>0</v>
      </c>
      <c r="I568" s="14">
        <v>768.2500</v>
      </c>
      <c r="J568" s="13" t="s">
        <v>46</v>
      </c>
    </row>
    <row r="569" ht="10.95" customHeight="true" customFormat="true" s="8">
      <c r="A569" s="12">
        <v>46155</v>
      </c>
      <c r="B569" s="13" t="s">
        <v>36</v>
      </c>
      <c r="C569" s="13" t="s">
        <v>649</v>
      </c>
      <c r="D569" s="13" t="s">
        <v>647</v>
      </c>
      <c r="E569" s="13" t="s">
        <v>16</v>
      </c>
      <c r="F569" s="14">
        <v>0</v>
      </c>
      <c r="G569" s="14">
        <v>823.1200</v>
      </c>
      <c r="H569" s="14">
        <v>0</v>
      </c>
      <c r="I569" s="14">
        <v>823.1200</v>
      </c>
      <c r="J569" s="13" t="s">
        <v>46</v>
      </c>
    </row>
    <row r="570" ht="10.95" customHeight="true" customFormat="true" s="8">
      <c r="A570" s="12">
        <v>46155</v>
      </c>
      <c r="B570" s="13" t="s">
        <v>36</v>
      </c>
      <c r="C570" s="13" t="s">
        <v>650</v>
      </c>
      <c r="D570" s="13" t="s">
        <v>647</v>
      </c>
      <c r="E570" s="13" t="s">
        <v>16</v>
      </c>
      <c r="F570" s="14">
        <v>0</v>
      </c>
      <c r="G570" s="14">
        <v>1097.5100</v>
      </c>
      <c r="H570" s="14">
        <v>0</v>
      </c>
      <c r="I570" s="14">
        <v>1097.5100</v>
      </c>
      <c r="J570" s="13" t="s">
        <v>46</v>
      </c>
    </row>
    <row r="571" ht="10.95" customHeight="true" customFormat="true" s="8">
      <c r="A571" s="12">
        <v>46155</v>
      </c>
      <c r="B571" s="13" t="s">
        <v>36</v>
      </c>
      <c r="C571" s="13" t="s">
        <v>651</v>
      </c>
      <c r="D571" s="13" t="s">
        <v>647</v>
      </c>
      <c r="E571" s="13" t="s">
        <v>16</v>
      </c>
      <c r="F571" s="14">
        <v>0</v>
      </c>
      <c r="G571" s="14">
        <v>823.1300</v>
      </c>
      <c r="H571" s="14">
        <v>0</v>
      </c>
      <c r="I571" s="14">
        <v>823.1300</v>
      </c>
      <c r="J571" s="13" t="s">
        <v>46</v>
      </c>
    </row>
    <row r="572" ht="10.95" customHeight="true" customFormat="true" s="8">
      <c r="A572" s="12">
        <v>46155</v>
      </c>
      <c r="B572" s="13" t="s">
        <v>36</v>
      </c>
      <c r="C572" s="13" t="s">
        <v>652</v>
      </c>
      <c r="D572" s="13" t="s">
        <v>647</v>
      </c>
      <c r="E572" s="13" t="s">
        <v>16</v>
      </c>
      <c r="F572" s="14">
        <v>0</v>
      </c>
      <c r="G572" s="14">
        <v>444.4900</v>
      </c>
      <c r="H572" s="14">
        <v>0</v>
      </c>
      <c r="I572" s="14">
        <v>444.4900</v>
      </c>
      <c r="J572" s="13" t="s">
        <v>46</v>
      </c>
    </row>
    <row r="573" ht="10.95" customHeight="true" customFormat="true" s="8">
      <c r="A573" s="12">
        <v>46160</v>
      </c>
      <c r="B573" s="13" t="s">
        <v>36</v>
      </c>
      <c r="C573" s="13" t="s">
        <v>653</v>
      </c>
      <c r="D573" s="13" t="s">
        <v>654</v>
      </c>
      <c r="E573" s="13" t="s">
        <v>16</v>
      </c>
      <c r="F573" s="14">
        <v>0</v>
      </c>
      <c r="G573" s="14">
        <v>156000.0000</v>
      </c>
      <c r="H573" s="14">
        <v>0</v>
      </c>
      <c r="I573" s="14">
        <v>156000.0000</v>
      </c>
      <c r="J573" s="13" t="s">
        <v>46</v>
      </c>
    </row>
    <row r="574" ht="10.95" customHeight="true" customFormat="true" s="8">
      <c r="A574" s="12">
        <v>46160</v>
      </c>
      <c r="B574" s="13" t="s">
        <v>36</v>
      </c>
      <c r="C574" s="13" t="s">
        <v>655</v>
      </c>
      <c r="D574" s="13" t="s">
        <v>654</v>
      </c>
      <c r="E574" s="13" t="s">
        <v>16</v>
      </c>
      <c r="F574" s="14">
        <v>0</v>
      </c>
      <c r="G574" s="14">
        <v>5040.0000</v>
      </c>
      <c r="H574" s="14">
        <v>0</v>
      </c>
      <c r="I574" s="14">
        <v>5040.0000</v>
      </c>
      <c r="J574" s="13" t="s">
        <v>46</v>
      </c>
    </row>
    <row r="575" ht="10.95" customHeight="true" customFormat="true" s="8">
      <c r="A575" s="12">
        <v>46160</v>
      </c>
      <c r="B575" s="13" t="s">
        <v>36</v>
      </c>
      <c r="C575" s="13" t="s">
        <v>656</v>
      </c>
      <c r="D575" s="13" t="s">
        <v>654</v>
      </c>
      <c r="E575" s="13" t="s">
        <v>16</v>
      </c>
      <c r="F575" s="14">
        <v>0</v>
      </c>
      <c r="G575" s="14">
        <v>3724.5000</v>
      </c>
      <c r="H575" s="14">
        <v>0</v>
      </c>
      <c r="I575" s="14">
        <v>3724.5000</v>
      </c>
      <c r="J575" s="13" t="s">
        <v>46</v>
      </c>
    </row>
    <row r="576" ht="10.95" customHeight="true" customFormat="true" s="8">
      <c r="A576" s="12">
        <v>46160</v>
      </c>
      <c r="B576" s="13" t="s">
        <v>36</v>
      </c>
      <c r="C576" s="13" t="s">
        <v>657</v>
      </c>
      <c r="D576" s="13" t="s">
        <v>654</v>
      </c>
      <c r="E576" s="13" t="s">
        <v>16</v>
      </c>
      <c r="F576" s="14">
        <v>0</v>
      </c>
      <c r="G576" s="14">
        <v>6646.5000</v>
      </c>
      <c r="H576" s="14">
        <v>0</v>
      </c>
      <c r="I576" s="14">
        <v>6646.5000</v>
      </c>
      <c r="J576" s="13" t="s">
        <v>46</v>
      </c>
    </row>
    <row r="577" ht="10.95" customHeight="true" customFormat="true" s="8">
      <c r="A577" s="12">
        <v>46161</v>
      </c>
      <c r="B577" s="13" t="s">
        <v>36</v>
      </c>
      <c r="C577" s="13" t="s">
        <v>658</v>
      </c>
      <c r="D577" s="13" t="s">
        <v>659</v>
      </c>
      <c r="E577" s="13" t="s">
        <v>16</v>
      </c>
      <c r="F577" s="14">
        <v>0</v>
      </c>
      <c r="G577" s="14">
        <v>135.0000</v>
      </c>
      <c r="H577" s="14">
        <v>0</v>
      </c>
      <c r="I577" s="14">
        <v>135.0000</v>
      </c>
      <c r="J577" s="13" t="s">
        <v>46</v>
      </c>
    </row>
    <row r="578" ht="10.95" customHeight="true" customFormat="true" s="8">
      <c r="A578" s="12">
        <v>46161</v>
      </c>
      <c r="B578" s="13" t="s">
        <v>36</v>
      </c>
      <c r="C578" s="13" t="s">
        <v>660</v>
      </c>
      <c r="D578" s="13" t="s">
        <v>659</v>
      </c>
      <c r="E578" s="13" t="s">
        <v>16</v>
      </c>
      <c r="F578" s="14">
        <v>0</v>
      </c>
      <c r="G578" s="14">
        <v>1316.2500</v>
      </c>
      <c r="H578" s="14">
        <v>0</v>
      </c>
      <c r="I578" s="14">
        <v>1316.2500</v>
      </c>
      <c r="J578" s="13" t="s">
        <v>46</v>
      </c>
    </row>
    <row r="579" ht="10.95" customHeight="true" customFormat="true" s="8">
      <c r="A579" s="12">
        <v>46212</v>
      </c>
      <c r="B579" s="13" t="s">
        <v>36</v>
      </c>
      <c r="C579" s="13" t="s">
        <v>661</v>
      </c>
      <c r="D579" s="13" t="s">
        <v>662</v>
      </c>
      <c r="E579" s="13" t="s">
        <v>16</v>
      </c>
      <c r="F579" s="14">
        <v>0</v>
      </c>
      <c r="G579" s="14">
        <v>2331.0000</v>
      </c>
      <c r="H579" s="14">
        <v>0</v>
      </c>
      <c r="I579" s="14">
        <v>2331.0000</v>
      </c>
      <c r="J579" s="13" t="s">
        <v>46</v>
      </c>
    </row>
    <row r="580" ht="10.95" customHeight="true" customFormat="true" s="8">
      <c r="A580" s="12">
        <v>46212</v>
      </c>
      <c r="B580" s="13" t="s">
        <v>36</v>
      </c>
      <c r="C580" s="13" t="s">
        <v>607</v>
      </c>
      <c r="D580" s="13" t="s">
        <v>662</v>
      </c>
      <c r="E580" s="13" t="s">
        <v>16</v>
      </c>
      <c r="F580" s="14">
        <v>0</v>
      </c>
      <c r="G580" s="14">
        <v>1320.0000</v>
      </c>
      <c r="H580" s="14">
        <v>0</v>
      </c>
      <c r="I580" s="14">
        <v>1320.0000</v>
      </c>
      <c r="J580" s="13" t="s">
        <v>46</v>
      </c>
    </row>
    <row r="581" ht="10.95" customHeight="true" customFormat="true" s="8">
      <c r="A581" s="12">
        <v>46212</v>
      </c>
      <c r="B581" s="13" t="s">
        <v>36</v>
      </c>
      <c r="C581" s="13" t="s">
        <v>610</v>
      </c>
      <c r="D581" s="13" t="s">
        <v>662</v>
      </c>
      <c r="E581" s="13" t="s">
        <v>16</v>
      </c>
      <c r="F581" s="14">
        <v>0</v>
      </c>
      <c r="G581" s="14">
        <v>1170.0000</v>
      </c>
      <c r="H581" s="14">
        <v>0</v>
      </c>
      <c r="I581" s="14">
        <v>1170.0000</v>
      </c>
      <c r="J581" s="13" t="s">
        <v>46</v>
      </c>
    </row>
    <row r="582" ht="10.95" customHeight="true" customFormat="true" s="8">
      <c r="A582" s="12">
        <v>46212</v>
      </c>
      <c r="B582" s="13" t="s">
        <v>36</v>
      </c>
      <c r="C582" s="13" t="s">
        <v>609</v>
      </c>
      <c r="D582" s="13" t="s">
        <v>662</v>
      </c>
      <c r="E582" s="13" t="s">
        <v>16</v>
      </c>
      <c r="F582" s="14">
        <v>0</v>
      </c>
      <c r="G582" s="14">
        <v>1170.0000</v>
      </c>
      <c r="H582" s="14">
        <v>0</v>
      </c>
      <c r="I582" s="14">
        <v>1170.0000</v>
      </c>
      <c r="J582" s="13" t="s">
        <v>46</v>
      </c>
    </row>
    <row r="583" ht="10.95" customHeight="true" customFormat="true" s="8">
      <c r="A583" s="12">
        <v>46212</v>
      </c>
      <c r="B583" s="13" t="s">
        <v>36</v>
      </c>
      <c r="C583" s="13" t="s">
        <v>663</v>
      </c>
      <c r="D583" s="13" t="s">
        <v>662</v>
      </c>
      <c r="E583" s="13" t="s">
        <v>16</v>
      </c>
      <c r="F583" s="14">
        <v>0</v>
      </c>
      <c r="G583" s="14">
        <v>6480.0000</v>
      </c>
      <c r="H583" s="14">
        <v>0</v>
      </c>
      <c r="I583" s="14">
        <v>6480.0000</v>
      </c>
      <c r="J583" s="13" t="s">
        <v>46</v>
      </c>
    </row>
    <row r="584" ht="10.95" customHeight="true" customFormat="true" s="8">
      <c r="A584" s="12">
        <v>46212</v>
      </c>
      <c r="B584" s="13" t="s">
        <v>36</v>
      </c>
      <c r="C584" s="13" t="s">
        <v>664</v>
      </c>
      <c r="D584" s="13" t="s">
        <v>662</v>
      </c>
      <c r="E584" s="13" t="s">
        <v>16</v>
      </c>
      <c r="F584" s="14">
        <v>0</v>
      </c>
      <c r="G584" s="14">
        <v>468.0000</v>
      </c>
      <c r="H584" s="14">
        <v>0</v>
      </c>
      <c r="I584" s="14">
        <v>468.0000</v>
      </c>
      <c r="J584" s="13" t="s">
        <v>46</v>
      </c>
    </row>
    <row r="585" ht="10.95" customHeight="true" customFormat="true" s="8">
      <c r="A585" s="12">
        <v>46212</v>
      </c>
      <c r="B585" s="13" t="s">
        <v>36</v>
      </c>
      <c r="C585" s="13" t="s">
        <v>665</v>
      </c>
      <c r="D585" s="13" t="s">
        <v>662</v>
      </c>
      <c r="E585" s="13" t="s">
        <v>16</v>
      </c>
      <c r="F585" s="14">
        <v>0</v>
      </c>
      <c r="G585" s="14">
        <v>2086.4000</v>
      </c>
      <c r="H585" s="14">
        <v>0</v>
      </c>
      <c r="I585" s="14">
        <v>2086.4000</v>
      </c>
      <c r="J585" s="13" t="s">
        <v>46</v>
      </c>
    </row>
    <row r="586" ht="10.95" customHeight="true" customFormat="true" s="8">
      <c r="A586" s="12">
        <v>46212</v>
      </c>
      <c r="B586" s="13" t="s">
        <v>36</v>
      </c>
      <c r="C586" s="13" t="s">
        <v>666</v>
      </c>
      <c r="D586" s="13" t="s">
        <v>662</v>
      </c>
      <c r="E586" s="13" t="s">
        <v>16</v>
      </c>
      <c r="F586" s="14">
        <v>0</v>
      </c>
      <c r="G586" s="14">
        <v>1215.0000</v>
      </c>
      <c r="H586" s="14">
        <v>0</v>
      </c>
      <c r="I586" s="14">
        <v>1215.0000</v>
      </c>
      <c r="J586" s="13" t="s">
        <v>46</v>
      </c>
    </row>
    <row r="587" ht="10.95" customHeight="true" customFormat="true" s="8">
      <c r="A587" s="12">
        <v>46212</v>
      </c>
      <c r="B587" s="13" t="s">
        <v>36</v>
      </c>
      <c r="C587" s="13" t="s">
        <v>667</v>
      </c>
      <c r="D587" s="13" t="s">
        <v>662</v>
      </c>
      <c r="E587" s="13" t="s">
        <v>16</v>
      </c>
      <c r="F587" s="14">
        <v>0</v>
      </c>
      <c r="G587" s="14">
        <v>120.0000</v>
      </c>
      <c r="H587" s="14">
        <v>0</v>
      </c>
      <c r="I587" s="14">
        <v>120.0000</v>
      </c>
      <c r="J587" s="13" t="s">
        <v>46</v>
      </c>
    </row>
    <row r="588" ht="10.95" customHeight="true" customFormat="true" s="8">
      <c r="A588" s="12">
        <v>46212</v>
      </c>
      <c r="B588" s="13" t="s">
        <v>36</v>
      </c>
      <c r="C588" s="13" t="s">
        <v>668</v>
      </c>
      <c r="D588" s="13" t="s">
        <v>662</v>
      </c>
      <c r="E588" s="13" t="s">
        <v>16</v>
      </c>
      <c r="F588" s="14">
        <v>0</v>
      </c>
      <c r="G588" s="14">
        <v>537.2900</v>
      </c>
      <c r="H588" s="14">
        <v>0</v>
      </c>
      <c r="I588" s="14">
        <v>537.2900</v>
      </c>
      <c r="J588" s="13" t="s">
        <v>46</v>
      </c>
    </row>
    <row r="589" ht="10.95" customHeight="true" customFormat="true" s="8">
      <c r="A589" s="12">
        <v>46219</v>
      </c>
      <c r="B589" s="13" t="s">
        <v>36</v>
      </c>
      <c r="C589" s="13" t="s">
        <v>669</v>
      </c>
      <c r="D589" s="13" t="s">
        <v>670</v>
      </c>
      <c r="E589" s="13" t="s">
        <v>16</v>
      </c>
      <c r="F589" s="14">
        <v>0</v>
      </c>
      <c r="G589" s="14">
        <v>3685.0000</v>
      </c>
      <c r="H589" s="14">
        <v>0</v>
      </c>
      <c r="I589" s="14">
        <v>3685.0000</v>
      </c>
      <c r="J589" s="13" t="s">
        <v>46</v>
      </c>
    </row>
    <row r="590" ht="10.95" customHeight="true" customFormat="true" s="8">
      <c r="A590" s="12">
        <v>46219</v>
      </c>
      <c r="B590" s="13" t="s">
        <v>36</v>
      </c>
      <c r="C590" s="13" t="s">
        <v>671</v>
      </c>
      <c r="D590" s="13" t="s">
        <v>670</v>
      </c>
      <c r="E590" s="13" t="s">
        <v>16</v>
      </c>
      <c r="F590" s="14">
        <v>0</v>
      </c>
      <c r="G590" s="14">
        <v>663.7500</v>
      </c>
      <c r="H590" s="14">
        <v>0</v>
      </c>
      <c r="I590" s="14">
        <v>663.7500</v>
      </c>
      <c r="J590" s="13" t="s">
        <v>46</v>
      </c>
    </row>
    <row r="591" ht="10.95" customHeight="true" customFormat="true" s="8">
      <c r="A591" s="12">
        <v>46219</v>
      </c>
      <c r="B591" s="13" t="s">
        <v>36</v>
      </c>
      <c r="C591" s="13" t="s">
        <v>672</v>
      </c>
      <c r="D591" s="13" t="s">
        <v>670</v>
      </c>
      <c r="E591" s="13" t="s">
        <v>16</v>
      </c>
      <c r="F591" s="14">
        <v>0</v>
      </c>
      <c r="G591" s="14">
        <v>4234.0000</v>
      </c>
      <c r="H591" s="14">
        <v>0</v>
      </c>
      <c r="I591" s="14">
        <v>4234.0000</v>
      </c>
      <c r="J591" s="13" t="s">
        <v>46</v>
      </c>
    </row>
    <row r="592" ht="10.95" customHeight="true" customFormat="true" s="8">
      <c r="A592" s="15" t="s">
        <v>673</v>
      </c>
      <c r="B592" s="15"/>
      <c r="C592" s="15"/>
      <c r="D592" s="15"/>
      <c r="E592" s="15"/>
      <c r="F592" s="16">
        <f ca="1">SUM(F538:F591)</f>
        <v>0</v>
      </c>
      <c r="G592" s="16">
        <f ca="1">SUM(G538:G591)</f>
        <v>0</v>
      </c>
      <c r="H592" s="16">
        <f ca="1">SUM(H538:H591)</f>
        <v>0</v>
      </c>
      <c r="I592" s="16">
        <f ca="1">SUM(I538:I591)</f>
        <v>0</v>
      </c>
      <c r="J592" s="15"/>
    </row>
    <row r="593" ht="13.35" customHeight="true"/>
    <row r="594" ht="12.1" customHeight="true" customFormat="true" s="5">
      <c r="A594" s="17" t="s">
        <v>674</v>
      </c>
      <c r="B594" s="17"/>
      <c r="C594" s="17"/>
      <c r="D594" s="17"/>
      <c r="E594" s="17"/>
      <c r="F594" s="17"/>
      <c r="G594" s="17"/>
      <c r="H594" s="17"/>
      <c r="I594" s="17"/>
      <c r="J594" s="17"/>
    </row>
    <row r="595" ht="10.95" customHeight="true" customFormat="true" s="8">
      <c r="A595" s="9">
        <v>45407</v>
      </c>
      <c r="B595" s="10" t="s">
        <v>36</v>
      </c>
      <c r="C595" s="10" t="s">
        <v>675</v>
      </c>
      <c r="D595" s="10" t="s">
        <v>676</v>
      </c>
      <c r="E595" s="10" t="s">
        <v>16</v>
      </c>
      <c r="F595" s="11">
        <v>0</v>
      </c>
      <c r="G595" s="11">
        <v>4545.0000</v>
      </c>
      <c r="H595" s="11">
        <v>0</v>
      </c>
      <c r="I595" s="11">
        <v>4545.0000</v>
      </c>
      <c r="J595" s="10" t="s">
        <v>24</v>
      </c>
    </row>
    <row r="596" ht="10.95" customHeight="true" customFormat="true" s="8">
      <c r="A596" s="12">
        <v>45464</v>
      </c>
      <c r="B596" s="13" t="s">
        <v>36</v>
      </c>
      <c r="C596" s="13" t="s">
        <v>677</v>
      </c>
      <c r="D596" s="13" t="s">
        <v>678</v>
      </c>
      <c r="E596" s="13" t="s">
        <v>16</v>
      </c>
      <c r="F596" s="14">
        <v>0</v>
      </c>
      <c r="G596" s="14">
        <v>14400.0000</v>
      </c>
      <c r="H596" s="14">
        <v>0</v>
      </c>
      <c r="I596" s="14">
        <v>14400.0000</v>
      </c>
      <c r="J596" s="13" t="s">
        <v>391</v>
      </c>
    </row>
    <row r="597" ht="10.95" customHeight="true" customFormat="true" s="8">
      <c r="A597" s="12">
        <v>45464</v>
      </c>
      <c r="B597" s="13" t="s">
        <v>36</v>
      </c>
      <c r="C597" s="13" t="s">
        <v>679</v>
      </c>
      <c r="D597" s="13" t="s">
        <v>678</v>
      </c>
      <c r="E597" s="13" t="s">
        <v>16</v>
      </c>
      <c r="F597" s="14">
        <v>0</v>
      </c>
      <c r="G597" s="14">
        <v>14400.0000</v>
      </c>
      <c r="H597" s="14">
        <v>0</v>
      </c>
      <c r="I597" s="14">
        <v>14400.0000</v>
      </c>
      <c r="J597" s="13" t="s">
        <v>391</v>
      </c>
    </row>
    <row r="598" ht="10.95" customHeight="true" customFormat="true" s="8">
      <c r="A598" s="12">
        <v>45464</v>
      </c>
      <c r="B598" s="13" t="s">
        <v>36</v>
      </c>
      <c r="C598" s="13" t="s">
        <v>680</v>
      </c>
      <c r="D598" s="13" t="s">
        <v>678</v>
      </c>
      <c r="E598" s="13" t="s">
        <v>16</v>
      </c>
      <c r="F598" s="14">
        <v>0</v>
      </c>
      <c r="G598" s="14">
        <v>13500.0000</v>
      </c>
      <c r="H598" s="14">
        <v>0</v>
      </c>
      <c r="I598" s="14">
        <v>13500.0000</v>
      </c>
      <c r="J598" s="13" t="s">
        <v>268</v>
      </c>
    </row>
    <row r="599" ht="10.95" customHeight="true" customFormat="true" s="8">
      <c r="A599" s="12">
        <v>45464</v>
      </c>
      <c r="B599" s="13" t="s">
        <v>36</v>
      </c>
      <c r="C599" s="13" t="s">
        <v>681</v>
      </c>
      <c r="D599" s="13" t="s">
        <v>678</v>
      </c>
      <c r="E599" s="13" t="s">
        <v>16</v>
      </c>
      <c r="F599" s="14">
        <v>0</v>
      </c>
      <c r="G599" s="14">
        <v>18000.0000</v>
      </c>
      <c r="H599" s="14">
        <v>0</v>
      </c>
      <c r="I599" s="14">
        <v>18000.0000</v>
      </c>
      <c r="J599" s="13" t="s">
        <v>268</v>
      </c>
    </row>
    <row r="600" ht="10.95" customHeight="true" customFormat="true" s="8">
      <c r="A600" s="12">
        <v>45464</v>
      </c>
      <c r="B600" s="13" t="s">
        <v>36</v>
      </c>
      <c r="C600" s="13" t="s">
        <v>682</v>
      </c>
      <c r="D600" s="13" t="s">
        <v>678</v>
      </c>
      <c r="E600" s="13" t="s">
        <v>16</v>
      </c>
      <c r="F600" s="14">
        <v>0</v>
      </c>
      <c r="G600" s="14">
        <v>18000.0000</v>
      </c>
      <c r="H600" s="14">
        <v>0</v>
      </c>
      <c r="I600" s="14">
        <v>18000.0000</v>
      </c>
      <c r="J600" s="13" t="s">
        <v>268</v>
      </c>
    </row>
    <row r="601" ht="10.95" customHeight="true" customFormat="true" s="8">
      <c r="A601" s="12">
        <v>45464</v>
      </c>
      <c r="B601" s="13" t="s">
        <v>36</v>
      </c>
      <c r="C601" s="13" t="s">
        <v>683</v>
      </c>
      <c r="D601" s="13" t="s">
        <v>678</v>
      </c>
      <c r="E601" s="13" t="s">
        <v>16</v>
      </c>
      <c r="F601" s="14">
        <v>0</v>
      </c>
      <c r="G601" s="14">
        <v>7800.0000</v>
      </c>
      <c r="H601" s="14">
        <v>0</v>
      </c>
      <c r="I601" s="14">
        <v>7800.0000</v>
      </c>
      <c r="J601" s="13" t="s">
        <v>268</v>
      </c>
    </row>
    <row r="602" ht="10.95" customHeight="true" customFormat="true" s="8">
      <c r="A602" s="12">
        <v>45464</v>
      </c>
      <c r="B602" s="13" t="s">
        <v>36</v>
      </c>
      <c r="C602" s="13" t="s">
        <v>684</v>
      </c>
      <c r="D602" s="13" t="s">
        <v>678</v>
      </c>
      <c r="E602" s="13" t="s">
        <v>16</v>
      </c>
      <c r="F602" s="14">
        <v>0</v>
      </c>
      <c r="G602" s="14">
        <v>7800.0000</v>
      </c>
      <c r="H602" s="14">
        <v>0</v>
      </c>
      <c r="I602" s="14">
        <v>7800.0000</v>
      </c>
      <c r="J602" s="13" t="s">
        <v>268</v>
      </c>
    </row>
    <row r="603" ht="10.95" customHeight="true" customFormat="true" s="8">
      <c r="A603" s="12">
        <v>45464</v>
      </c>
      <c r="B603" s="13" t="s">
        <v>36</v>
      </c>
      <c r="C603" s="13" t="s">
        <v>685</v>
      </c>
      <c r="D603" s="13" t="s">
        <v>678</v>
      </c>
      <c r="E603" s="13" t="s">
        <v>16</v>
      </c>
      <c r="F603" s="14">
        <v>0</v>
      </c>
      <c r="G603" s="14">
        <v>2880.0000</v>
      </c>
      <c r="H603" s="14">
        <v>0</v>
      </c>
      <c r="I603" s="14">
        <v>2880.0000</v>
      </c>
      <c r="J603" s="13" t="s">
        <v>268</v>
      </c>
    </row>
    <row r="604" ht="10.95" customHeight="true" customFormat="true" s="8">
      <c r="A604" s="12">
        <v>45464</v>
      </c>
      <c r="B604" s="13" t="s">
        <v>36</v>
      </c>
      <c r="C604" s="13" t="s">
        <v>686</v>
      </c>
      <c r="D604" s="13" t="s">
        <v>687</v>
      </c>
      <c r="E604" s="13" t="s">
        <v>16</v>
      </c>
      <c r="F604" s="14">
        <v>0</v>
      </c>
      <c r="G604" s="14">
        <v>9603.3800</v>
      </c>
      <c r="H604" s="14">
        <v>0</v>
      </c>
      <c r="I604" s="14">
        <v>9603.3800</v>
      </c>
      <c r="J604" s="13" t="s">
        <v>177</v>
      </c>
    </row>
    <row r="605" ht="10.95" customHeight="true" customFormat="true" s="8">
      <c r="A605" s="12">
        <v>45482</v>
      </c>
      <c r="B605" s="13" t="s">
        <v>36</v>
      </c>
      <c r="C605" s="13" t="s">
        <v>688</v>
      </c>
      <c r="D605" s="13" t="s">
        <v>689</v>
      </c>
      <c r="E605" s="13" t="s">
        <v>16</v>
      </c>
      <c r="F605" s="14">
        <v>0</v>
      </c>
      <c r="G605" s="14">
        <v>10381.8000</v>
      </c>
      <c r="H605" s="14">
        <v>0</v>
      </c>
      <c r="I605" s="14">
        <v>10381.8000</v>
      </c>
      <c r="J605" s="13" t="s">
        <v>20</v>
      </c>
    </row>
    <row r="606" ht="10.95" customHeight="true" customFormat="true" s="8">
      <c r="A606" s="12">
        <v>45513</v>
      </c>
      <c r="B606" s="13" t="s">
        <v>36</v>
      </c>
      <c r="C606" s="13" t="s">
        <v>690</v>
      </c>
      <c r="D606" s="13" t="s">
        <v>691</v>
      </c>
      <c r="E606" s="13" t="s">
        <v>16</v>
      </c>
      <c r="F606" s="14">
        <v>0</v>
      </c>
      <c r="G606" s="14">
        <v>22750.0000</v>
      </c>
      <c r="H606" s="14">
        <v>0</v>
      </c>
      <c r="I606" s="14">
        <v>22750.0000</v>
      </c>
      <c r="J606" s="13" t="s">
        <v>17</v>
      </c>
    </row>
    <row r="607" ht="10.95" customHeight="true" customFormat="true" s="8">
      <c r="A607" s="12">
        <v>45513</v>
      </c>
      <c r="B607" s="13" t="s">
        <v>36</v>
      </c>
      <c r="C607" s="13" t="s">
        <v>692</v>
      </c>
      <c r="D607" s="13" t="s">
        <v>691</v>
      </c>
      <c r="E607" s="13" t="s">
        <v>16</v>
      </c>
      <c r="F607" s="14">
        <v>0</v>
      </c>
      <c r="G607" s="14">
        <v>6706.0000</v>
      </c>
      <c r="H607" s="14">
        <v>0</v>
      </c>
      <c r="I607" s="14">
        <v>6706.0000</v>
      </c>
      <c r="J607" s="13" t="s">
        <v>125</v>
      </c>
    </row>
    <row r="608" ht="10.95" customHeight="true" customFormat="true" s="8">
      <c r="A608" s="12">
        <v>45513</v>
      </c>
      <c r="B608" s="13" t="s">
        <v>36</v>
      </c>
      <c r="C608" s="13" t="s">
        <v>693</v>
      </c>
      <c r="D608" s="13" t="s">
        <v>691</v>
      </c>
      <c r="E608" s="13" t="s">
        <v>16</v>
      </c>
      <c r="F608" s="14">
        <v>0</v>
      </c>
      <c r="G608" s="14">
        <v>2118.6000</v>
      </c>
      <c r="H608" s="14">
        <v>0</v>
      </c>
      <c r="I608" s="14">
        <v>2118.6000</v>
      </c>
      <c r="J608" s="13" t="s">
        <v>18</v>
      </c>
    </row>
    <row r="609" ht="10.95" customHeight="true" customFormat="true" s="8">
      <c r="A609" s="12">
        <v>45562</v>
      </c>
      <c r="B609" s="13" t="s">
        <v>694</v>
      </c>
      <c r="C609" s="13" t="s">
        <v>695</v>
      </c>
      <c r="D609" s="13" t="s">
        <v>691</v>
      </c>
      <c r="E609" s="13" t="s">
        <v>16</v>
      </c>
      <c r="F609" s="14">
        <v>0.0600</v>
      </c>
      <c r="G609" s="14">
        <v>0</v>
      </c>
      <c r="H609" s="14">
        <v>0.0600</v>
      </c>
      <c r="I609" s="14">
        <v>0</v>
      </c>
      <c r="J609" s="13" t="s">
        <v>27</v>
      </c>
    </row>
    <row r="610" ht="10.95" customHeight="true" customFormat="true" s="8">
      <c r="A610" s="12">
        <v>45567</v>
      </c>
      <c r="B610" s="13" t="s">
        <v>36</v>
      </c>
      <c r="C610" s="13" t="s">
        <v>696</v>
      </c>
      <c r="D610" s="13" t="s">
        <v>697</v>
      </c>
      <c r="E610" s="13" t="s">
        <v>16</v>
      </c>
      <c r="F610" s="14">
        <v>0</v>
      </c>
      <c r="G610" s="14">
        <v>1170.0000</v>
      </c>
      <c r="H610" s="14">
        <v>0</v>
      </c>
      <c r="I610" s="14">
        <v>1170.0000</v>
      </c>
      <c r="J610" s="13" t="s">
        <v>46</v>
      </c>
    </row>
    <row r="611" ht="10.95" customHeight="true" customFormat="true" s="8">
      <c r="A611" s="12">
        <v>45567</v>
      </c>
      <c r="B611" s="13" t="s">
        <v>36</v>
      </c>
      <c r="C611" s="13" t="s">
        <v>698</v>
      </c>
      <c r="D611" s="13" t="s">
        <v>697</v>
      </c>
      <c r="E611" s="13" t="s">
        <v>16</v>
      </c>
      <c r="F611" s="14">
        <v>0</v>
      </c>
      <c r="G611" s="14">
        <v>5280.0000</v>
      </c>
      <c r="H611" s="14">
        <v>0</v>
      </c>
      <c r="I611" s="14">
        <v>5280.0000</v>
      </c>
      <c r="J611" s="13" t="s">
        <v>46</v>
      </c>
    </row>
    <row r="612" ht="10.95" customHeight="true" customFormat="true" s="8">
      <c r="A612" s="12">
        <v>45567</v>
      </c>
      <c r="B612" s="13" t="s">
        <v>36</v>
      </c>
      <c r="C612" s="13" t="s">
        <v>699</v>
      </c>
      <c r="D612" s="13" t="s">
        <v>697</v>
      </c>
      <c r="E612" s="13" t="s">
        <v>16</v>
      </c>
      <c r="F612" s="14">
        <v>0</v>
      </c>
      <c r="G612" s="14">
        <v>1170.0000</v>
      </c>
      <c r="H612" s="14">
        <v>0</v>
      </c>
      <c r="I612" s="14">
        <v>1170.0000</v>
      </c>
      <c r="J612" s="13" t="s">
        <v>46</v>
      </c>
    </row>
    <row r="613" ht="10.95" customHeight="true" customFormat="true" s="8">
      <c r="A613" s="12">
        <v>45567</v>
      </c>
      <c r="B613" s="13" t="s">
        <v>36</v>
      </c>
      <c r="C613" s="13" t="s">
        <v>700</v>
      </c>
      <c r="D613" s="13" t="s">
        <v>697</v>
      </c>
      <c r="E613" s="13" t="s">
        <v>16</v>
      </c>
      <c r="F613" s="14">
        <v>0</v>
      </c>
      <c r="G613" s="14">
        <v>3575.0000</v>
      </c>
      <c r="H613" s="14">
        <v>0</v>
      </c>
      <c r="I613" s="14">
        <v>3575.0000</v>
      </c>
      <c r="J613" s="13" t="s">
        <v>46</v>
      </c>
    </row>
    <row r="614" ht="10.95" customHeight="true" customFormat="true" s="8">
      <c r="A614" s="12">
        <v>45705</v>
      </c>
      <c r="B614" s="13" t="s">
        <v>36</v>
      </c>
      <c r="C614" s="13" t="s">
        <v>701</v>
      </c>
      <c r="D614" s="13" t="s">
        <v>702</v>
      </c>
      <c r="E614" s="13" t="s">
        <v>16</v>
      </c>
      <c r="F614" s="14">
        <v>0</v>
      </c>
      <c r="G614" s="14">
        <v>548.4000</v>
      </c>
      <c r="H614" s="14">
        <v>0</v>
      </c>
      <c r="I614" s="14">
        <v>548.4000</v>
      </c>
      <c r="J614" s="13" t="s">
        <v>46</v>
      </c>
    </row>
    <row r="615" ht="21.3" customHeight="true" customFormat="true" s="8">
      <c r="A615" s="12">
        <v>45905</v>
      </c>
      <c r="B615" s="13" t="s">
        <v>36</v>
      </c>
      <c r="C615" s="19" t="s">
        <v>703</v>
      </c>
      <c r="D615" s="13" t="s">
        <v>704</v>
      </c>
      <c r="E615" s="13" t="s">
        <v>16</v>
      </c>
      <c r="F615" s="14">
        <v>0</v>
      </c>
      <c r="G615" s="14">
        <v>45450.0000</v>
      </c>
      <c r="H615" s="14">
        <v>0</v>
      </c>
      <c r="I615" s="14">
        <v>45450.0000</v>
      </c>
      <c r="J615" s="13" t="s">
        <v>24</v>
      </c>
    </row>
    <row r="616" ht="10.95" customHeight="true" customFormat="true" s="8">
      <c r="A616" s="12">
        <v>45905</v>
      </c>
      <c r="B616" s="13" t="s">
        <v>36</v>
      </c>
      <c r="C616" s="13" t="s">
        <v>705</v>
      </c>
      <c r="D616" s="13" t="s">
        <v>704</v>
      </c>
      <c r="E616" s="13" t="s">
        <v>16</v>
      </c>
      <c r="F616" s="14">
        <v>5050.0000</v>
      </c>
      <c r="G616" s="14">
        <v>0</v>
      </c>
      <c r="H616" s="14">
        <v>5050.0000</v>
      </c>
      <c r="I616" s="14">
        <v>0</v>
      </c>
      <c r="J616" s="13" t="s">
        <v>24</v>
      </c>
    </row>
    <row r="617" ht="10.95" customHeight="true" customFormat="true" s="8">
      <c r="A617" s="12">
        <v>45905</v>
      </c>
      <c r="B617" s="13" t="s">
        <v>36</v>
      </c>
      <c r="C617" s="13" t="s">
        <v>706</v>
      </c>
      <c r="D617" s="13" t="s">
        <v>704</v>
      </c>
      <c r="E617" s="13" t="s">
        <v>16</v>
      </c>
      <c r="F617" s="14">
        <v>9603.3800</v>
      </c>
      <c r="G617" s="14">
        <v>0</v>
      </c>
      <c r="H617" s="14">
        <v>9603.3800</v>
      </c>
      <c r="I617" s="14">
        <v>0</v>
      </c>
      <c r="J617" s="13" t="s">
        <v>46</v>
      </c>
    </row>
    <row r="618" ht="10.95" customHeight="true" customFormat="true" s="8">
      <c r="A618" s="12">
        <v>45905</v>
      </c>
      <c r="B618" s="13" t="s">
        <v>36</v>
      </c>
      <c r="C618" s="13" t="s">
        <v>707</v>
      </c>
      <c r="D618" s="13" t="s">
        <v>704</v>
      </c>
      <c r="E618" s="13" t="s">
        <v>16</v>
      </c>
      <c r="F618" s="14">
        <v>3575.0000</v>
      </c>
      <c r="G618" s="14">
        <v>0</v>
      </c>
      <c r="H618" s="14">
        <v>3575.0000</v>
      </c>
      <c r="I618" s="14">
        <v>0</v>
      </c>
      <c r="J618" s="13" t="s">
        <v>46</v>
      </c>
    </row>
    <row r="619" ht="10.95" customHeight="true" customFormat="true" s="8">
      <c r="A619" s="12">
        <v>45910</v>
      </c>
      <c r="B619" s="13" t="s">
        <v>36</v>
      </c>
      <c r="C619" s="13" t="s">
        <v>708</v>
      </c>
      <c r="D619" s="13" t="s">
        <v>709</v>
      </c>
      <c r="E619" s="13" t="s">
        <v>16</v>
      </c>
      <c r="F619" s="14">
        <v>0</v>
      </c>
      <c r="G619" s="14">
        <v>12500.0000</v>
      </c>
      <c r="H619" s="14">
        <v>0</v>
      </c>
      <c r="I619" s="14">
        <v>12500.0000</v>
      </c>
      <c r="J619" s="13" t="s">
        <v>19</v>
      </c>
    </row>
    <row r="620" ht="10.95" customHeight="true" customFormat="true" s="8">
      <c r="A620" s="12">
        <v>45960</v>
      </c>
      <c r="B620" s="13" t="s">
        <v>36</v>
      </c>
      <c r="C620" s="13" t="s">
        <v>710</v>
      </c>
      <c r="D620" s="13" t="s">
        <v>711</v>
      </c>
      <c r="E620" s="13" t="s">
        <v>16</v>
      </c>
      <c r="F620" s="14">
        <v>0</v>
      </c>
      <c r="G620" s="14">
        <v>1462.5000</v>
      </c>
      <c r="H620" s="14">
        <v>0</v>
      </c>
      <c r="I620" s="14">
        <v>1462.5000</v>
      </c>
      <c r="J620" s="13" t="s">
        <v>46</v>
      </c>
    </row>
    <row r="621" ht="10.95" customHeight="true" customFormat="true" s="8">
      <c r="A621" s="12">
        <v>46045</v>
      </c>
      <c r="B621" s="13" t="s">
        <v>36</v>
      </c>
      <c r="C621" s="13" t="s">
        <v>712</v>
      </c>
      <c r="D621" s="13" t="s">
        <v>713</v>
      </c>
      <c r="E621" s="13" t="s">
        <v>16</v>
      </c>
      <c r="F621" s="14">
        <v>0</v>
      </c>
      <c r="G621" s="14">
        <v>625.0000</v>
      </c>
      <c r="H621" s="14">
        <v>0</v>
      </c>
      <c r="I621" s="14">
        <v>625.0000</v>
      </c>
      <c r="J621" s="13" t="s">
        <v>46</v>
      </c>
    </row>
    <row r="622" ht="10.95" customHeight="true" customFormat="true" s="8">
      <c r="A622" s="12">
        <v>46230</v>
      </c>
      <c r="B622" s="13" t="s">
        <v>36</v>
      </c>
      <c r="C622" s="13" t="s">
        <v>714</v>
      </c>
      <c r="D622" s="13" t="s">
        <v>715</v>
      </c>
      <c r="E622" s="13" t="s">
        <v>16</v>
      </c>
      <c r="F622" s="14">
        <v>0</v>
      </c>
      <c r="G622" s="14">
        <v>6200.0000</v>
      </c>
      <c r="H622" s="14">
        <v>0</v>
      </c>
      <c r="I622" s="14">
        <v>6200.0000</v>
      </c>
      <c r="J622" s="13" t="s">
        <v>46</v>
      </c>
    </row>
    <row r="623" ht="10.95" customHeight="true" customFormat="true" s="8">
      <c r="A623" s="12">
        <v>46230</v>
      </c>
      <c r="B623" s="13" t="s">
        <v>36</v>
      </c>
      <c r="C623" s="13" t="s">
        <v>716</v>
      </c>
      <c r="D623" s="13" t="s">
        <v>715</v>
      </c>
      <c r="E623" s="13" t="s">
        <v>16</v>
      </c>
      <c r="F623" s="14">
        <v>0</v>
      </c>
      <c r="G623" s="14">
        <v>2129.0000</v>
      </c>
      <c r="H623" s="14">
        <v>0</v>
      </c>
      <c r="I623" s="14">
        <v>2129.0000</v>
      </c>
      <c r="J623" s="13" t="s">
        <v>46</v>
      </c>
    </row>
    <row r="624" ht="10.95" customHeight="true" customFormat="true" s="8">
      <c r="A624" s="12">
        <v>46230</v>
      </c>
      <c r="B624" s="13" t="s">
        <v>36</v>
      </c>
      <c r="C624" s="13" t="s">
        <v>717</v>
      </c>
      <c r="D624" s="13" t="s">
        <v>715</v>
      </c>
      <c r="E624" s="13" t="s">
        <v>16</v>
      </c>
      <c r="F624" s="14">
        <v>0</v>
      </c>
      <c r="G624" s="14">
        <v>75.0000</v>
      </c>
      <c r="H624" s="14">
        <v>0</v>
      </c>
      <c r="I624" s="14">
        <v>75.0000</v>
      </c>
      <c r="J624" s="13" t="s">
        <v>46</v>
      </c>
    </row>
    <row r="625" ht="10.95" customHeight="true" customFormat="true" s="8">
      <c r="A625" s="15" t="s">
        <v>718</v>
      </c>
      <c r="B625" s="15"/>
      <c r="C625" s="15"/>
      <c r="D625" s="15"/>
      <c r="E625" s="15"/>
      <c r="F625" s="16">
        <f ca="1">SUM(F595:F624)</f>
        <v>0</v>
      </c>
      <c r="G625" s="16">
        <f ca="1">SUM(G595:G624)</f>
        <v>0</v>
      </c>
      <c r="H625" s="16">
        <f ca="1">SUM(H595:H624)</f>
        <v>0</v>
      </c>
      <c r="I625" s="16">
        <f ca="1">SUM(I595:I624)</f>
        <v>0</v>
      </c>
      <c r="J625" s="15"/>
    </row>
    <row r="626" ht="13.35" customHeight="true"/>
    <row r="627" ht="12.1" customHeight="true" customFormat="true" s="5">
      <c r="A627" s="17" t="s">
        <v>719</v>
      </c>
      <c r="B627" s="17"/>
      <c r="C627" s="17"/>
      <c r="D627" s="17"/>
      <c r="E627" s="17"/>
      <c r="F627" s="17"/>
      <c r="G627" s="17"/>
      <c r="H627" s="17"/>
      <c r="I627" s="17"/>
      <c r="J627" s="17"/>
    </row>
    <row r="628" ht="10.95" customHeight="true" customFormat="true" s="8">
      <c r="A628" s="9">
        <v>45336</v>
      </c>
      <c r="B628" s="10" t="s">
        <v>36</v>
      </c>
      <c r="C628" s="10" t="s">
        <v>720</v>
      </c>
      <c r="D628" s="10" t="s">
        <v>721</v>
      </c>
      <c r="E628" s="10" t="s">
        <v>16</v>
      </c>
      <c r="F628" s="11">
        <v>0</v>
      </c>
      <c r="G628" s="11">
        <v>1701.0000</v>
      </c>
      <c r="H628" s="11">
        <v>0</v>
      </c>
      <c r="I628" s="11">
        <v>1701.0000</v>
      </c>
      <c r="J628" s="10" t="s">
        <v>722</v>
      </c>
    </row>
    <row r="629" ht="10.95" customHeight="true" customFormat="true" s="8">
      <c r="A629" s="12">
        <v>45359</v>
      </c>
      <c r="B629" s="13" t="s">
        <v>36</v>
      </c>
      <c r="C629" s="13" t="s">
        <v>723</v>
      </c>
      <c r="D629" s="13" t="s">
        <v>724</v>
      </c>
      <c r="E629" s="13" t="s">
        <v>16</v>
      </c>
      <c r="F629" s="14">
        <v>0</v>
      </c>
      <c r="G629" s="14">
        <v>1300.0000</v>
      </c>
      <c r="H629" s="14">
        <v>0</v>
      </c>
      <c r="I629" s="14">
        <v>1300.0000</v>
      </c>
      <c r="J629" s="13" t="s">
        <v>268</v>
      </c>
    </row>
    <row r="630" ht="10.95" customHeight="true" customFormat="true" s="8">
      <c r="A630" s="12">
        <v>45359</v>
      </c>
      <c r="B630" s="13" t="s">
        <v>36</v>
      </c>
      <c r="C630" s="13" t="s">
        <v>725</v>
      </c>
      <c r="D630" s="13" t="s">
        <v>724</v>
      </c>
      <c r="E630" s="13" t="s">
        <v>16</v>
      </c>
      <c r="F630" s="14">
        <v>0</v>
      </c>
      <c r="G630" s="14">
        <v>300.0000</v>
      </c>
      <c r="H630" s="14">
        <v>0</v>
      </c>
      <c r="I630" s="14">
        <v>300.0000</v>
      </c>
      <c r="J630" s="13" t="s">
        <v>268</v>
      </c>
    </row>
    <row r="631" ht="10.95" customHeight="true" customFormat="true" s="8">
      <c r="A631" s="12">
        <v>45359</v>
      </c>
      <c r="B631" s="13" t="s">
        <v>36</v>
      </c>
      <c r="C631" s="13" t="s">
        <v>726</v>
      </c>
      <c r="D631" s="13" t="s">
        <v>724</v>
      </c>
      <c r="E631" s="13" t="s">
        <v>16</v>
      </c>
      <c r="F631" s="14">
        <v>0</v>
      </c>
      <c r="G631" s="14">
        <v>225.0000</v>
      </c>
      <c r="H631" s="14">
        <v>0</v>
      </c>
      <c r="I631" s="14">
        <v>225.0000</v>
      </c>
      <c r="J631" s="13" t="s">
        <v>268</v>
      </c>
    </row>
    <row r="632" ht="10.95" customHeight="true" customFormat="true" s="8">
      <c r="A632" s="12">
        <v>45359</v>
      </c>
      <c r="B632" s="13" t="s">
        <v>36</v>
      </c>
      <c r="C632" s="13" t="s">
        <v>727</v>
      </c>
      <c r="D632" s="13" t="s">
        <v>724</v>
      </c>
      <c r="E632" s="13" t="s">
        <v>16</v>
      </c>
      <c r="F632" s="14">
        <v>0</v>
      </c>
      <c r="G632" s="14">
        <v>500.0000</v>
      </c>
      <c r="H632" s="14">
        <v>0</v>
      </c>
      <c r="I632" s="14">
        <v>500.0000</v>
      </c>
      <c r="J632" s="13" t="s">
        <v>268</v>
      </c>
    </row>
    <row r="633" ht="10.95" customHeight="true" customFormat="true" s="8">
      <c r="A633" s="12">
        <v>45359</v>
      </c>
      <c r="B633" s="13" t="s">
        <v>36</v>
      </c>
      <c r="C633" s="13" t="s">
        <v>728</v>
      </c>
      <c r="D633" s="13" t="s">
        <v>724</v>
      </c>
      <c r="E633" s="13" t="s">
        <v>16</v>
      </c>
      <c r="F633" s="14">
        <v>0</v>
      </c>
      <c r="G633" s="14">
        <v>650.0000</v>
      </c>
      <c r="H633" s="14">
        <v>0</v>
      </c>
      <c r="I633" s="14">
        <v>650.0000</v>
      </c>
      <c r="J633" s="13" t="s">
        <v>268</v>
      </c>
    </row>
    <row r="634" ht="10.95" customHeight="true" customFormat="true" s="8">
      <c r="A634" s="15" t="s">
        <v>729</v>
      </c>
      <c r="B634" s="15"/>
      <c r="C634" s="15"/>
      <c r="D634" s="15"/>
      <c r="E634" s="15"/>
      <c r="F634" s="16">
        <f ca="1">SUM(F628:F633)</f>
        <v>0</v>
      </c>
      <c r="G634" s="16">
        <f ca="1">SUM(G628:G633)</f>
        <v>0</v>
      </c>
      <c r="H634" s="16">
        <f ca="1">SUM(H628:H633)</f>
        <v>0</v>
      </c>
      <c r="I634" s="16">
        <f ca="1">SUM(I628:I633)</f>
        <v>0</v>
      </c>
      <c r="J634" s="15"/>
    </row>
    <row r="635" ht="13.35" customHeight="true"/>
    <row r="636" ht="12.1" customHeight="true" customFormat="true" s="5">
      <c r="A636" s="17" t="s">
        <v>730</v>
      </c>
      <c r="B636" s="17"/>
      <c r="C636" s="17"/>
      <c r="D636" s="17"/>
      <c r="E636" s="17"/>
      <c r="F636" s="17"/>
      <c r="G636" s="17"/>
      <c r="H636" s="17"/>
      <c r="I636" s="17"/>
      <c r="J636" s="17"/>
    </row>
    <row r="637" ht="10.95" customHeight="true" customFormat="true" s="8">
      <c r="A637" s="9">
        <v>45392</v>
      </c>
      <c r="B637" s="10" t="s">
        <v>36</v>
      </c>
      <c r="C637" s="10" t="s">
        <v>731</v>
      </c>
      <c r="D637" s="10" t="s">
        <v>732</v>
      </c>
      <c r="E637" s="10" t="s">
        <v>16</v>
      </c>
      <c r="F637" s="11">
        <v>0</v>
      </c>
      <c r="G637" s="11">
        <v>1100.0000</v>
      </c>
      <c r="H637" s="11">
        <v>0</v>
      </c>
      <c r="I637" s="11">
        <v>1100.0000</v>
      </c>
      <c r="J637" s="10" t="s">
        <v>268</v>
      </c>
    </row>
    <row r="638" ht="10.95" customHeight="true" customFormat="true" s="8">
      <c r="A638" s="12">
        <v>45392</v>
      </c>
      <c r="B638" s="13" t="s">
        <v>36</v>
      </c>
      <c r="C638" s="13" t="s">
        <v>733</v>
      </c>
      <c r="D638" s="13" t="s">
        <v>732</v>
      </c>
      <c r="E638" s="13" t="s">
        <v>16</v>
      </c>
      <c r="F638" s="14">
        <v>0</v>
      </c>
      <c r="G638" s="14">
        <v>1000.0000</v>
      </c>
      <c r="H638" s="14">
        <v>0</v>
      </c>
      <c r="I638" s="14">
        <v>1000.0000</v>
      </c>
      <c r="J638" s="13" t="s">
        <v>268</v>
      </c>
    </row>
    <row r="639" ht="10.95" customHeight="true" customFormat="true" s="8">
      <c r="A639" s="12">
        <v>45392</v>
      </c>
      <c r="B639" s="13" t="s">
        <v>36</v>
      </c>
      <c r="C639" s="13" t="s">
        <v>733</v>
      </c>
      <c r="D639" s="13" t="s">
        <v>734</v>
      </c>
      <c r="E639" s="13" t="s">
        <v>16</v>
      </c>
      <c r="F639" s="14">
        <v>0</v>
      </c>
      <c r="G639" s="14">
        <v>4000.0000</v>
      </c>
      <c r="H639" s="14">
        <v>0</v>
      </c>
      <c r="I639" s="14">
        <v>4000.0000</v>
      </c>
      <c r="J639" s="13" t="s">
        <v>268</v>
      </c>
    </row>
    <row r="640" ht="10.95" customHeight="true" customFormat="true" s="8">
      <c r="A640" s="15" t="s">
        <v>735</v>
      </c>
      <c r="B640" s="15"/>
      <c r="C640" s="15"/>
      <c r="D640" s="15"/>
      <c r="E640" s="15"/>
      <c r="F640" s="16">
        <f ca="1">SUM(F637:F639)</f>
        <v>0</v>
      </c>
      <c r="G640" s="16">
        <f ca="1">SUM(G637:G639)</f>
        <v>0</v>
      </c>
      <c r="H640" s="16">
        <f ca="1">SUM(H637:H639)</f>
        <v>0</v>
      </c>
      <c r="I640" s="16">
        <f ca="1">SUM(I637:I639)</f>
        <v>0</v>
      </c>
      <c r="J640" s="15"/>
    </row>
    <row r="641" ht="13.35" customHeight="true"/>
    <row r="642" ht="12.1" customHeight="true" customFormat="true" s="5">
      <c r="A642" s="17" t="s">
        <v>736</v>
      </c>
      <c r="B642" s="17"/>
      <c r="C642" s="17"/>
      <c r="D642" s="17"/>
      <c r="E642" s="17"/>
      <c r="F642" s="17"/>
      <c r="G642" s="17"/>
      <c r="H642" s="17"/>
      <c r="I642" s="17"/>
      <c r="J642" s="17"/>
    </row>
    <row r="643" ht="10.95" customHeight="true" customFormat="true" s="8">
      <c r="A643" s="9">
        <v>45476</v>
      </c>
      <c r="B643" s="10" t="s">
        <v>36</v>
      </c>
      <c r="C643" s="10" t="s">
        <v>737</v>
      </c>
      <c r="D643" s="10" t="s">
        <v>738</v>
      </c>
      <c r="E643" s="10" t="s">
        <v>16</v>
      </c>
      <c r="F643" s="11">
        <v>0</v>
      </c>
      <c r="G643" s="11">
        <v>988.8000</v>
      </c>
      <c r="H643" s="11">
        <v>0</v>
      </c>
      <c r="I643" s="11">
        <v>988.8000</v>
      </c>
      <c r="J643" s="10" t="s">
        <v>46</v>
      </c>
    </row>
    <row r="644" ht="10.95" customHeight="true" customFormat="true" s="8">
      <c r="A644" s="12">
        <v>45791</v>
      </c>
      <c r="B644" s="13" t="s">
        <v>36</v>
      </c>
      <c r="C644" s="13" t="s">
        <v>739</v>
      </c>
      <c r="D644" s="13" t="s">
        <v>740</v>
      </c>
      <c r="E644" s="13" t="s">
        <v>16</v>
      </c>
      <c r="F644" s="14">
        <v>0</v>
      </c>
      <c r="G644" s="14">
        <v>548.4000</v>
      </c>
      <c r="H644" s="14">
        <v>0</v>
      </c>
      <c r="I644" s="14">
        <v>548.4000</v>
      </c>
      <c r="J644" s="13" t="s">
        <v>46</v>
      </c>
    </row>
    <row r="645" ht="10.95" customHeight="true" customFormat="true" s="8">
      <c r="A645" s="15" t="s">
        <v>741</v>
      </c>
      <c r="B645" s="15"/>
      <c r="C645" s="15"/>
      <c r="D645" s="15"/>
      <c r="E645" s="15"/>
      <c r="F645" s="16">
        <f ca="1">SUM(F643:F644)</f>
        <v>0</v>
      </c>
      <c r="G645" s="16">
        <f ca="1">SUM(G643:G644)</f>
        <v>0</v>
      </c>
      <c r="H645" s="16">
        <f ca="1">SUM(H643:H644)</f>
        <v>0</v>
      </c>
      <c r="I645" s="16">
        <f ca="1">SUM(I643:I644)</f>
        <v>0</v>
      </c>
      <c r="J645" s="15"/>
    </row>
    <row r="646" ht="13.35" customHeight="true"/>
    <row r="647" ht="12.1" customHeight="true" customFormat="true" s="5">
      <c r="A647" s="17" t="s">
        <v>742</v>
      </c>
      <c r="B647" s="17"/>
      <c r="C647" s="17"/>
      <c r="D647" s="17"/>
      <c r="E647" s="17"/>
      <c r="F647" s="17"/>
      <c r="G647" s="17"/>
      <c r="H647" s="17"/>
      <c r="I647" s="17"/>
      <c r="J647" s="17"/>
    </row>
    <row r="648" ht="10.95" customHeight="true" customFormat="true" s="8">
      <c r="A648" s="9">
        <v>45667</v>
      </c>
      <c r="B648" s="10" t="s">
        <v>36</v>
      </c>
      <c r="C648" s="10" t="s">
        <v>743</v>
      </c>
      <c r="D648" s="10" t="s">
        <v>744</v>
      </c>
      <c r="E648" s="10" t="s">
        <v>16</v>
      </c>
      <c r="F648" s="11">
        <v>0</v>
      </c>
      <c r="G648" s="11">
        <v>3000.0000</v>
      </c>
      <c r="H648" s="11">
        <v>0</v>
      </c>
      <c r="I648" s="11">
        <v>3000.0000</v>
      </c>
      <c r="J648" s="10" t="s">
        <v>46</v>
      </c>
    </row>
    <row r="649" ht="10.95" customHeight="true" customFormat="true" s="8">
      <c r="A649" s="12">
        <v>45687</v>
      </c>
      <c r="B649" s="13" t="s">
        <v>36</v>
      </c>
      <c r="C649" s="13" t="s">
        <v>745</v>
      </c>
      <c r="D649" s="13" t="s">
        <v>746</v>
      </c>
      <c r="E649" s="13" t="s">
        <v>16</v>
      </c>
      <c r="F649" s="14">
        <v>0</v>
      </c>
      <c r="G649" s="14">
        <v>730.8000</v>
      </c>
      <c r="H649" s="14">
        <v>0</v>
      </c>
      <c r="I649" s="14">
        <v>730.8000</v>
      </c>
      <c r="J649" s="13" t="s">
        <v>317</v>
      </c>
    </row>
    <row r="650" ht="10.95" customHeight="true" customFormat="true" s="8">
      <c r="A650" s="12">
        <v>45687</v>
      </c>
      <c r="B650" s="13" t="s">
        <v>36</v>
      </c>
      <c r="C650" s="13" t="s">
        <v>747</v>
      </c>
      <c r="D650" s="13" t="s">
        <v>746</v>
      </c>
      <c r="E650" s="13" t="s">
        <v>16</v>
      </c>
      <c r="F650" s="14">
        <v>0</v>
      </c>
      <c r="G650" s="14">
        <v>1412.4000</v>
      </c>
      <c r="H650" s="14">
        <v>0</v>
      </c>
      <c r="I650" s="14">
        <v>1412.4000</v>
      </c>
      <c r="J650" s="13" t="s">
        <v>18</v>
      </c>
    </row>
    <row r="651" ht="10.95" customHeight="true" customFormat="true" s="8">
      <c r="A651" s="12">
        <v>45687</v>
      </c>
      <c r="B651" s="13" t="s">
        <v>36</v>
      </c>
      <c r="C651" s="13" t="s">
        <v>748</v>
      </c>
      <c r="D651" s="13" t="s">
        <v>746</v>
      </c>
      <c r="E651" s="13" t="s">
        <v>16</v>
      </c>
      <c r="F651" s="14">
        <v>0</v>
      </c>
      <c r="G651" s="14">
        <v>1754.4000</v>
      </c>
      <c r="H651" s="14">
        <v>0</v>
      </c>
      <c r="I651" s="14">
        <v>1754.4000</v>
      </c>
      <c r="J651" s="13" t="s">
        <v>317</v>
      </c>
    </row>
    <row r="652" ht="10.95" customHeight="true" customFormat="true" s="8">
      <c r="A652" s="12">
        <v>45687</v>
      </c>
      <c r="B652" s="13" t="s">
        <v>36</v>
      </c>
      <c r="C652" s="13" t="s">
        <v>749</v>
      </c>
      <c r="D652" s="13" t="s">
        <v>746</v>
      </c>
      <c r="E652" s="13" t="s">
        <v>16</v>
      </c>
      <c r="F652" s="14">
        <v>0</v>
      </c>
      <c r="G652" s="14">
        <v>3884.4000</v>
      </c>
      <c r="H652" s="14">
        <v>0</v>
      </c>
      <c r="I652" s="14">
        <v>3884.4000</v>
      </c>
      <c r="J652" s="13" t="s">
        <v>18</v>
      </c>
    </row>
    <row r="653" ht="10.95" customHeight="true" customFormat="true" s="8">
      <c r="A653" s="12">
        <v>45734</v>
      </c>
      <c r="B653" s="13" t="s">
        <v>36</v>
      </c>
      <c r="C653" s="13" t="s">
        <v>750</v>
      </c>
      <c r="D653" s="13" t="s">
        <v>751</v>
      </c>
      <c r="E653" s="13" t="s">
        <v>16</v>
      </c>
      <c r="F653" s="14">
        <v>0</v>
      </c>
      <c r="G653" s="14">
        <v>3960.0000</v>
      </c>
      <c r="H653" s="14">
        <v>0</v>
      </c>
      <c r="I653" s="14">
        <v>3960.0000</v>
      </c>
      <c r="J653" s="13" t="s">
        <v>218</v>
      </c>
    </row>
    <row r="654" ht="10.95" customHeight="true" customFormat="true" s="8">
      <c r="A654" s="12">
        <v>45734</v>
      </c>
      <c r="B654" s="13" t="s">
        <v>36</v>
      </c>
      <c r="C654" s="13" t="s">
        <v>752</v>
      </c>
      <c r="D654" s="13" t="s">
        <v>751</v>
      </c>
      <c r="E654" s="13" t="s">
        <v>16</v>
      </c>
      <c r="F654" s="14">
        <v>0</v>
      </c>
      <c r="G654" s="14">
        <v>1950.0000</v>
      </c>
      <c r="H654" s="14">
        <v>0</v>
      </c>
      <c r="I654" s="14">
        <v>1950.0000</v>
      </c>
      <c r="J654" s="13" t="s">
        <v>218</v>
      </c>
    </row>
    <row r="655" ht="10.95" customHeight="true" customFormat="true" s="8">
      <c r="A655" s="12">
        <v>45734</v>
      </c>
      <c r="B655" s="13" t="s">
        <v>36</v>
      </c>
      <c r="C655" s="13" t="s">
        <v>753</v>
      </c>
      <c r="D655" s="13" t="s">
        <v>751</v>
      </c>
      <c r="E655" s="13" t="s">
        <v>16</v>
      </c>
      <c r="F655" s="14">
        <v>0</v>
      </c>
      <c r="G655" s="14">
        <v>1950.0000</v>
      </c>
      <c r="H655" s="14">
        <v>0</v>
      </c>
      <c r="I655" s="14">
        <v>1950.0000</v>
      </c>
      <c r="J655" s="13" t="s">
        <v>218</v>
      </c>
    </row>
    <row r="656" ht="10.95" customHeight="true" customFormat="true" s="8">
      <c r="A656" s="12">
        <v>45769</v>
      </c>
      <c r="B656" s="13" t="s">
        <v>36</v>
      </c>
      <c r="C656" s="13" t="s">
        <v>750</v>
      </c>
      <c r="D656" s="13" t="s">
        <v>754</v>
      </c>
      <c r="E656" s="13" t="s">
        <v>16</v>
      </c>
      <c r="F656" s="14">
        <v>0</v>
      </c>
      <c r="G656" s="14">
        <v>1320.0000</v>
      </c>
      <c r="H656" s="14">
        <v>0</v>
      </c>
      <c r="I656" s="14">
        <v>1320.0000</v>
      </c>
      <c r="J656" s="13" t="s">
        <v>46</v>
      </c>
    </row>
    <row r="657" ht="10.95" customHeight="true" customFormat="true" s="8">
      <c r="A657" s="12">
        <v>45769</v>
      </c>
      <c r="B657" s="13" t="s">
        <v>36</v>
      </c>
      <c r="C657" s="13" t="s">
        <v>752</v>
      </c>
      <c r="D657" s="13" t="s">
        <v>754</v>
      </c>
      <c r="E657" s="13" t="s">
        <v>16</v>
      </c>
      <c r="F657" s="14">
        <v>0</v>
      </c>
      <c r="G657" s="14">
        <v>780.0000</v>
      </c>
      <c r="H657" s="14">
        <v>0</v>
      </c>
      <c r="I657" s="14">
        <v>780.0000</v>
      </c>
      <c r="J657" s="13" t="s">
        <v>46</v>
      </c>
    </row>
    <row r="658" ht="10.95" customHeight="true" customFormat="true" s="8">
      <c r="A658" s="12">
        <v>45769</v>
      </c>
      <c r="B658" s="13" t="s">
        <v>36</v>
      </c>
      <c r="C658" s="13" t="s">
        <v>753</v>
      </c>
      <c r="D658" s="13" t="s">
        <v>754</v>
      </c>
      <c r="E658" s="13" t="s">
        <v>16</v>
      </c>
      <c r="F658" s="14">
        <v>0</v>
      </c>
      <c r="G658" s="14">
        <v>780.0000</v>
      </c>
      <c r="H658" s="14">
        <v>0</v>
      </c>
      <c r="I658" s="14">
        <v>780.0000</v>
      </c>
      <c r="J658" s="13" t="s">
        <v>46</v>
      </c>
    </row>
    <row r="659" ht="10.95" customHeight="true" customFormat="true" s="8">
      <c r="A659" s="12">
        <v>45779</v>
      </c>
      <c r="B659" s="13" t="s">
        <v>36</v>
      </c>
      <c r="C659" s="13" t="s">
        <v>752</v>
      </c>
      <c r="D659" s="13" t="s">
        <v>755</v>
      </c>
      <c r="E659" s="13" t="s">
        <v>16</v>
      </c>
      <c r="F659" s="14">
        <v>0</v>
      </c>
      <c r="G659" s="14">
        <v>2730.0000</v>
      </c>
      <c r="H659" s="14">
        <v>0</v>
      </c>
      <c r="I659" s="14">
        <v>2730.0000</v>
      </c>
      <c r="J659" s="13" t="s">
        <v>218</v>
      </c>
    </row>
    <row r="660" ht="10.95" customHeight="true" customFormat="true" s="8">
      <c r="A660" s="12">
        <v>45779</v>
      </c>
      <c r="B660" s="13" t="s">
        <v>36</v>
      </c>
      <c r="C660" s="13" t="s">
        <v>753</v>
      </c>
      <c r="D660" s="13" t="s">
        <v>755</v>
      </c>
      <c r="E660" s="13" t="s">
        <v>16</v>
      </c>
      <c r="F660" s="14">
        <v>0</v>
      </c>
      <c r="G660" s="14">
        <v>1170.0000</v>
      </c>
      <c r="H660" s="14">
        <v>0</v>
      </c>
      <c r="I660" s="14">
        <v>1170.0000</v>
      </c>
      <c r="J660" s="13" t="s">
        <v>218</v>
      </c>
    </row>
    <row r="661" ht="10.95" customHeight="true" customFormat="true" s="8">
      <c r="A661" s="12">
        <v>45792</v>
      </c>
      <c r="B661" s="13" t="s">
        <v>36</v>
      </c>
      <c r="C661" s="13" t="s">
        <v>756</v>
      </c>
      <c r="D661" s="13" t="s">
        <v>757</v>
      </c>
      <c r="E661" s="13" t="s">
        <v>16</v>
      </c>
      <c r="F661" s="14">
        <v>0</v>
      </c>
      <c r="G661" s="14">
        <v>6010.6000</v>
      </c>
      <c r="H661" s="14">
        <v>0</v>
      </c>
      <c r="I661" s="14">
        <v>6010.6000</v>
      </c>
      <c r="J661" s="13" t="s">
        <v>18</v>
      </c>
    </row>
    <row r="662" ht="10.95" customHeight="true" customFormat="true" s="8">
      <c r="A662" s="12">
        <v>45869</v>
      </c>
      <c r="B662" s="13" t="s">
        <v>36</v>
      </c>
      <c r="C662" s="13" t="s">
        <v>752</v>
      </c>
      <c r="D662" s="13" t="s">
        <v>758</v>
      </c>
      <c r="E662" s="13" t="s">
        <v>16</v>
      </c>
      <c r="F662" s="14">
        <v>0</v>
      </c>
      <c r="G662" s="14">
        <v>780.0000</v>
      </c>
      <c r="H662" s="14">
        <v>0</v>
      </c>
      <c r="I662" s="14">
        <v>780.0000</v>
      </c>
      <c r="J662" s="13" t="s">
        <v>46</v>
      </c>
    </row>
    <row r="663" ht="10.95" customHeight="true" customFormat="true" s="8">
      <c r="A663" s="12">
        <v>45869</v>
      </c>
      <c r="B663" s="13" t="s">
        <v>36</v>
      </c>
      <c r="C663" s="13" t="s">
        <v>750</v>
      </c>
      <c r="D663" s="13" t="s">
        <v>758</v>
      </c>
      <c r="E663" s="13" t="s">
        <v>16</v>
      </c>
      <c r="F663" s="14">
        <v>0</v>
      </c>
      <c r="G663" s="14">
        <v>660.0000</v>
      </c>
      <c r="H663" s="14">
        <v>0</v>
      </c>
      <c r="I663" s="14">
        <v>660.0000</v>
      </c>
      <c r="J663" s="13" t="s">
        <v>46</v>
      </c>
    </row>
    <row r="664" ht="10.95" customHeight="true" customFormat="true" s="8">
      <c r="A664" s="12">
        <v>45869</v>
      </c>
      <c r="B664" s="13" t="s">
        <v>72</v>
      </c>
      <c r="C664" s="13" t="s">
        <v>752</v>
      </c>
      <c r="D664" s="13" t="s">
        <v>758</v>
      </c>
      <c r="E664" s="13" t="s">
        <v>16</v>
      </c>
      <c r="F664" s="14">
        <v>780.0000</v>
      </c>
      <c r="G664" s="14">
        <v>0</v>
      </c>
      <c r="H664" s="14">
        <v>780.0000</v>
      </c>
      <c r="I664" s="14">
        <v>0</v>
      </c>
      <c r="J664" s="13" t="s">
        <v>46</v>
      </c>
    </row>
    <row r="665" ht="10.95" customHeight="true" customFormat="true" s="8">
      <c r="A665" s="12">
        <v>45869</v>
      </c>
      <c r="B665" s="13" t="s">
        <v>72</v>
      </c>
      <c r="C665" s="13" t="s">
        <v>750</v>
      </c>
      <c r="D665" s="13" t="s">
        <v>758</v>
      </c>
      <c r="E665" s="13" t="s">
        <v>16</v>
      </c>
      <c r="F665" s="14">
        <v>660.0000</v>
      </c>
      <c r="G665" s="14">
        <v>0</v>
      </c>
      <c r="H665" s="14">
        <v>660.0000</v>
      </c>
      <c r="I665" s="14">
        <v>0</v>
      </c>
      <c r="J665" s="13" t="s">
        <v>46</v>
      </c>
    </row>
    <row r="666" ht="10.95" customHeight="true" customFormat="true" s="8">
      <c r="A666" s="12">
        <v>45869</v>
      </c>
      <c r="B666" s="13" t="s">
        <v>36</v>
      </c>
      <c r="C666" s="13" t="s">
        <v>753</v>
      </c>
      <c r="D666" s="13" t="s">
        <v>759</v>
      </c>
      <c r="E666" s="13" t="s">
        <v>16</v>
      </c>
      <c r="F666" s="14">
        <v>0</v>
      </c>
      <c r="G666" s="14">
        <v>390.0000</v>
      </c>
      <c r="H666" s="14">
        <v>0</v>
      </c>
      <c r="I666" s="14">
        <v>390.0000</v>
      </c>
      <c r="J666" s="13" t="s">
        <v>46</v>
      </c>
    </row>
    <row r="667" ht="10.95" customHeight="true" customFormat="true" s="8">
      <c r="A667" s="12">
        <v>45869</v>
      </c>
      <c r="B667" s="13" t="s">
        <v>36</v>
      </c>
      <c r="C667" s="13" t="s">
        <v>752</v>
      </c>
      <c r="D667" s="13" t="s">
        <v>759</v>
      </c>
      <c r="E667" s="13" t="s">
        <v>16</v>
      </c>
      <c r="F667" s="14">
        <v>0</v>
      </c>
      <c r="G667" s="14">
        <v>390.0000</v>
      </c>
      <c r="H667" s="14">
        <v>0</v>
      </c>
      <c r="I667" s="14">
        <v>390.0000</v>
      </c>
      <c r="J667" s="13" t="s">
        <v>46</v>
      </c>
    </row>
    <row r="668" ht="10.95" customHeight="true" customFormat="true" s="8">
      <c r="A668" s="12">
        <v>45869</v>
      </c>
      <c r="B668" s="13" t="s">
        <v>36</v>
      </c>
      <c r="C668" s="13" t="s">
        <v>750</v>
      </c>
      <c r="D668" s="13" t="s">
        <v>759</v>
      </c>
      <c r="E668" s="13" t="s">
        <v>16</v>
      </c>
      <c r="F668" s="14">
        <v>0</v>
      </c>
      <c r="G668" s="14">
        <v>660.0000</v>
      </c>
      <c r="H668" s="14">
        <v>0</v>
      </c>
      <c r="I668" s="14">
        <v>660.0000</v>
      </c>
      <c r="J668" s="13" t="s">
        <v>46</v>
      </c>
    </row>
    <row r="669" ht="10.95" customHeight="true" customFormat="true" s="8">
      <c r="A669" s="12">
        <v>45937</v>
      </c>
      <c r="B669" s="13" t="s">
        <v>36</v>
      </c>
      <c r="C669" s="13" t="s">
        <v>760</v>
      </c>
      <c r="D669" s="13" t="s">
        <v>761</v>
      </c>
      <c r="E669" s="13" t="s">
        <v>16</v>
      </c>
      <c r="F669" s="14">
        <v>0</v>
      </c>
      <c r="G669" s="14">
        <v>2557.8000</v>
      </c>
      <c r="H669" s="14">
        <v>0</v>
      </c>
      <c r="I669" s="14">
        <v>2557.8000</v>
      </c>
      <c r="J669" s="13" t="s">
        <v>46</v>
      </c>
    </row>
    <row r="670" ht="10.95" customHeight="true" customFormat="true" s="8">
      <c r="A670" s="12">
        <v>46098</v>
      </c>
      <c r="B670" s="13" t="s">
        <v>36</v>
      </c>
      <c r="C670" s="13" t="s">
        <v>762</v>
      </c>
      <c r="D670" s="13" t="s">
        <v>763</v>
      </c>
      <c r="E670" s="13" t="s">
        <v>16</v>
      </c>
      <c r="F670" s="14">
        <v>0</v>
      </c>
      <c r="G670" s="14">
        <v>3884.4000</v>
      </c>
      <c r="H670" s="14">
        <v>0</v>
      </c>
      <c r="I670" s="14">
        <v>3884.4000</v>
      </c>
      <c r="J670" s="13" t="s">
        <v>46</v>
      </c>
    </row>
    <row r="671" ht="10.95" customHeight="true" customFormat="true" s="8">
      <c r="A671" s="12">
        <v>46098</v>
      </c>
      <c r="B671" s="13" t="s">
        <v>36</v>
      </c>
      <c r="C671" s="13" t="s">
        <v>745</v>
      </c>
      <c r="D671" s="13" t="s">
        <v>763</v>
      </c>
      <c r="E671" s="13" t="s">
        <v>16</v>
      </c>
      <c r="F671" s="14">
        <v>0</v>
      </c>
      <c r="G671" s="14">
        <v>730.8000</v>
      </c>
      <c r="H671" s="14">
        <v>0</v>
      </c>
      <c r="I671" s="14">
        <v>730.8000</v>
      </c>
      <c r="J671" s="13" t="s">
        <v>46</v>
      </c>
    </row>
    <row r="672" ht="10.95" customHeight="true" customFormat="true" s="8">
      <c r="A672" s="12">
        <v>46098</v>
      </c>
      <c r="B672" s="13" t="s">
        <v>36</v>
      </c>
      <c r="C672" s="13" t="s">
        <v>764</v>
      </c>
      <c r="D672" s="13" t="s">
        <v>763</v>
      </c>
      <c r="E672" s="13" t="s">
        <v>16</v>
      </c>
      <c r="F672" s="14">
        <v>0</v>
      </c>
      <c r="G672" s="14">
        <v>2046.0000</v>
      </c>
      <c r="H672" s="14">
        <v>0</v>
      </c>
      <c r="I672" s="14">
        <v>2046.0000</v>
      </c>
      <c r="J672" s="13" t="s">
        <v>46</v>
      </c>
    </row>
    <row r="673" ht="10.95" customHeight="true" customFormat="true" s="8">
      <c r="A673" s="12">
        <v>46098</v>
      </c>
      <c r="B673" s="13" t="s">
        <v>36</v>
      </c>
      <c r="C673" s="13" t="s">
        <v>765</v>
      </c>
      <c r="D673" s="13" t="s">
        <v>763</v>
      </c>
      <c r="E673" s="13" t="s">
        <v>16</v>
      </c>
      <c r="F673" s="14">
        <v>0</v>
      </c>
      <c r="G673" s="14">
        <v>1412.4000</v>
      </c>
      <c r="H673" s="14">
        <v>0</v>
      </c>
      <c r="I673" s="14">
        <v>1412.4000</v>
      </c>
      <c r="J673" s="13" t="s">
        <v>46</v>
      </c>
    </row>
    <row r="674" ht="10.95" customHeight="true" customFormat="true" s="8">
      <c r="A674" s="12">
        <v>46098</v>
      </c>
      <c r="B674" s="13" t="s">
        <v>36</v>
      </c>
      <c r="C674" s="13" t="s">
        <v>766</v>
      </c>
      <c r="D674" s="13" t="s">
        <v>763</v>
      </c>
      <c r="E674" s="13" t="s">
        <v>16</v>
      </c>
      <c r="F674" s="14">
        <v>0</v>
      </c>
      <c r="G674" s="14">
        <v>2118.6000</v>
      </c>
      <c r="H674" s="14">
        <v>0</v>
      </c>
      <c r="I674" s="14">
        <v>2118.6000</v>
      </c>
      <c r="J674" s="13" t="s">
        <v>46</v>
      </c>
    </row>
    <row r="675" ht="10.95" customHeight="true" customFormat="true" s="8">
      <c r="A675" s="12">
        <v>46133</v>
      </c>
      <c r="B675" s="13" t="s">
        <v>36</v>
      </c>
      <c r="C675" s="13" t="s">
        <v>767</v>
      </c>
      <c r="D675" s="13" t="s">
        <v>768</v>
      </c>
      <c r="E675" s="13" t="s">
        <v>16</v>
      </c>
      <c r="F675" s="14">
        <v>0</v>
      </c>
      <c r="G675" s="14">
        <v>12934.3500</v>
      </c>
      <c r="H675" s="14">
        <v>0</v>
      </c>
      <c r="I675" s="14">
        <v>12934.3500</v>
      </c>
      <c r="J675" s="13" t="s">
        <v>46</v>
      </c>
    </row>
    <row r="676" ht="10.95" customHeight="true" customFormat="true" s="8">
      <c r="A676" s="12">
        <v>46147</v>
      </c>
      <c r="B676" s="13" t="s">
        <v>36</v>
      </c>
      <c r="C676" s="13" t="s">
        <v>766</v>
      </c>
      <c r="D676" s="13" t="s">
        <v>769</v>
      </c>
      <c r="E676" s="13" t="s">
        <v>16</v>
      </c>
      <c r="F676" s="14">
        <v>0</v>
      </c>
      <c r="G676" s="14">
        <v>2118.6000</v>
      </c>
      <c r="H676" s="14">
        <v>0</v>
      </c>
      <c r="I676" s="14">
        <v>2118.6000</v>
      </c>
      <c r="J676" s="13" t="s">
        <v>46</v>
      </c>
    </row>
    <row r="677" ht="10.95" customHeight="true" customFormat="true" s="8">
      <c r="A677" s="12">
        <v>46176</v>
      </c>
      <c r="B677" s="13" t="s">
        <v>36</v>
      </c>
      <c r="C677" s="13" t="s">
        <v>770</v>
      </c>
      <c r="D677" s="13" t="s">
        <v>771</v>
      </c>
      <c r="E677" s="13" t="s">
        <v>16</v>
      </c>
      <c r="F677" s="14">
        <v>0</v>
      </c>
      <c r="G677" s="14">
        <v>548.4000</v>
      </c>
      <c r="H677" s="14">
        <v>0</v>
      </c>
      <c r="I677" s="14">
        <v>548.4000</v>
      </c>
      <c r="J677" s="13" t="s">
        <v>46</v>
      </c>
    </row>
    <row r="678" ht="10.95" customHeight="true" customFormat="true" s="8">
      <c r="A678" s="12">
        <v>46231</v>
      </c>
      <c r="B678" s="13" t="s">
        <v>36</v>
      </c>
      <c r="C678" s="13" t="s">
        <v>772</v>
      </c>
      <c r="D678" s="13" t="s">
        <v>773</v>
      </c>
      <c r="E678" s="13" t="s">
        <v>16</v>
      </c>
      <c r="F678" s="14">
        <v>0</v>
      </c>
      <c r="G678" s="14">
        <v>382.0500</v>
      </c>
      <c r="H678" s="14">
        <v>0</v>
      </c>
      <c r="I678" s="14">
        <v>382.0500</v>
      </c>
      <c r="J678" s="13" t="s">
        <v>46</v>
      </c>
    </row>
    <row r="679" ht="10.95" customHeight="true" customFormat="true" s="8">
      <c r="A679" s="12">
        <v>46237</v>
      </c>
      <c r="B679" s="13" t="s">
        <v>36</v>
      </c>
      <c r="C679" s="13" t="s">
        <v>774</v>
      </c>
      <c r="D679" s="13" t="s">
        <v>775</v>
      </c>
      <c r="E679" s="13" t="s">
        <v>16</v>
      </c>
      <c r="F679" s="14">
        <v>0</v>
      </c>
      <c r="G679" s="14">
        <v>100.0000</v>
      </c>
      <c r="H679" s="14">
        <v>0</v>
      </c>
      <c r="I679" s="14">
        <v>100.0000</v>
      </c>
      <c r="J679" s="13" t="s">
        <v>46</v>
      </c>
    </row>
    <row r="680" ht="10.95" customHeight="true" customFormat="true" s="8">
      <c r="A680" s="15" t="s">
        <v>776</v>
      </c>
      <c r="B680" s="15"/>
      <c r="C680" s="15"/>
      <c r="D680" s="15"/>
      <c r="E680" s="15"/>
      <c r="F680" s="16">
        <f ca="1">SUM(F648:F679)</f>
        <v>0</v>
      </c>
      <c r="G680" s="16">
        <f ca="1">SUM(G648:G679)</f>
        <v>0</v>
      </c>
      <c r="H680" s="16">
        <f ca="1">SUM(H648:H679)</f>
        <v>0</v>
      </c>
      <c r="I680" s="16">
        <f ca="1">SUM(I648:I679)</f>
        <v>0</v>
      </c>
      <c r="J680" s="15"/>
    </row>
    <row r="681" ht="13.35" customHeight="true"/>
    <row r="682" ht="12.1" customHeight="true" customFormat="true" s="5">
      <c r="A682" s="17" t="s">
        <v>777</v>
      </c>
      <c r="B682" s="17"/>
      <c r="C682" s="17"/>
      <c r="D682" s="17"/>
      <c r="E682" s="17"/>
      <c r="F682" s="17"/>
      <c r="G682" s="17"/>
      <c r="H682" s="17"/>
      <c r="I682" s="17"/>
      <c r="J682" s="17"/>
    </row>
    <row r="683" ht="10.95" customHeight="true" customFormat="true" s="8">
      <c r="A683" s="9">
        <v>45471</v>
      </c>
      <c r="B683" s="10" t="s">
        <v>36</v>
      </c>
      <c r="C683" s="10" t="s">
        <v>778</v>
      </c>
      <c r="D683" s="10" t="s">
        <v>779</v>
      </c>
      <c r="E683" s="10" t="s">
        <v>16</v>
      </c>
      <c r="F683" s="11">
        <v>0</v>
      </c>
      <c r="G683" s="11">
        <v>3000.0000</v>
      </c>
      <c r="H683" s="11">
        <v>0</v>
      </c>
      <c r="I683" s="11">
        <v>3000.0000</v>
      </c>
      <c r="J683" s="10" t="s">
        <v>46</v>
      </c>
    </row>
    <row r="684" ht="10.95" customHeight="true" customFormat="true" s="8">
      <c r="A684" s="12">
        <v>45471</v>
      </c>
      <c r="B684" s="13" t="s">
        <v>36</v>
      </c>
      <c r="C684" s="13" t="s">
        <v>780</v>
      </c>
      <c r="D684" s="13" t="s">
        <v>779</v>
      </c>
      <c r="E684" s="13" t="s">
        <v>16</v>
      </c>
      <c r="F684" s="14">
        <v>0</v>
      </c>
      <c r="G684" s="14">
        <v>648.7000</v>
      </c>
      <c r="H684" s="14">
        <v>0</v>
      </c>
      <c r="I684" s="14">
        <v>648.7000</v>
      </c>
      <c r="J684" s="13" t="s">
        <v>46</v>
      </c>
    </row>
    <row r="685" ht="10.95" customHeight="true" customFormat="true" s="8">
      <c r="A685" s="12">
        <v>45471</v>
      </c>
      <c r="B685" s="13" t="s">
        <v>36</v>
      </c>
      <c r="C685" s="13" t="s">
        <v>781</v>
      </c>
      <c r="D685" s="13" t="s">
        <v>779</v>
      </c>
      <c r="E685" s="13" t="s">
        <v>16</v>
      </c>
      <c r="F685" s="14">
        <v>0</v>
      </c>
      <c r="G685" s="14">
        <v>1150.0000</v>
      </c>
      <c r="H685" s="14">
        <v>0</v>
      </c>
      <c r="I685" s="14">
        <v>1150.0000</v>
      </c>
      <c r="J685" s="13" t="s">
        <v>46</v>
      </c>
    </row>
    <row r="686" ht="10.95" customHeight="true" customFormat="true" s="8">
      <c r="A686" s="15" t="s">
        <v>782</v>
      </c>
      <c r="B686" s="15"/>
      <c r="C686" s="15"/>
      <c r="D686" s="15"/>
      <c r="E686" s="15"/>
      <c r="F686" s="16">
        <f ca="1">SUM(F683:F685)</f>
        <v>0</v>
      </c>
      <c r="G686" s="16">
        <f ca="1">SUM(G683:G685)</f>
        <v>0</v>
      </c>
      <c r="H686" s="16">
        <f ca="1">SUM(H683:H685)</f>
        <v>0</v>
      </c>
      <c r="I686" s="16">
        <f ca="1">SUM(I683:I685)</f>
        <v>0</v>
      </c>
      <c r="J686" s="15"/>
    </row>
    <row r="687" ht="13.35" customHeight="true"/>
    <row r="688" ht="12.1" customHeight="true" customFormat="true" s="5">
      <c r="A688" s="17" t="s">
        <v>783</v>
      </c>
      <c r="B688" s="17"/>
      <c r="C688" s="17"/>
      <c r="D688" s="17"/>
      <c r="E688" s="17"/>
      <c r="F688" s="17"/>
      <c r="G688" s="17"/>
      <c r="H688" s="17"/>
      <c r="I688" s="17"/>
      <c r="J688" s="17"/>
    </row>
    <row r="689" ht="10.95" customHeight="true" customFormat="true" s="8">
      <c r="A689" s="9">
        <v>45639</v>
      </c>
      <c r="B689" s="10" t="s">
        <v>36</v>
      </c>
      <c r="C689" s="10" t="s">
        <v>784</v>
      </c>
      <c r="D689" s="10" t="s">
        <v>785</v>
      </c>
      <c r="E689" s="10" t="s">
        <v>16</v>
      </c>
      <c r="F689" s="11">
        <v>0</v>
      </c>
      <c r="G689" s="11">
        <v>1765.8000</v>
      </c>
      <c r="H689" s="11">
        <v>0</v>
      </c>
      <c r="I689" s="11">
        <v>1765.8000</v>
      </c>
      <c r="J689" s="10" t="s">
        <v>46</v>
      </c>
    </row>
    <row r="690" ht="10.95" customHeight="true" customFormat="true" s="8">
      <c r="A690" s="15" t="s">
        <v>786</v>
      </c>
      <c r="B690" s="15"/>
      <c r="C690" s="15"/>
      <c r="D690" s="15"/>
      <c r="E690" s="15"/>
      <c r="F690" s="16">
        <f ca="1">F689</f>
        <v>0</v>
      </c>
      <c r="G690" s="16">
        <f ca="1">G689</f>
        <v>0</v>
      </c>
      <c r="H690" s="16">
        <f ca="1">H689</f>
        <v>0</v>
      </c>
      <c r="I690" s="16">
        <f ca="1">I689</f>
        <v>0</v>
      </c>
      <c r="J690" s="15"/>
    </row>
    <row r="691" ht="13.35" customHeight="true"/>
    <row r="692" ht="12.1" customHeight="true" customFormat="true" s="5">
      <c r="A692" s="17" t="s">
        <v>787</v>
      </c>
      <c r="B692" s="17"/>
      <c r="C692" s="17"/>
      <c r="D692" s="17"/>
      <c r="E692" s="17"/>
      <c r="F692" s="17"/>
      <c r="G692" s="17"/>
      <c r="H692" s="17"/>
      <c r="I692" s="17"/>
      <c r="J692" s="17"/>
    </row>
    <row r="693" ht="10.95" customHeight="true" customFormat="true" s="8">
      <c r="A693" s="9">
        <v>45574</v>
      </c>
      <c r="B693" s="10" t="s">
        <v>36</v>
      </c>
      <c r="C693" s="10" t="s">
        <v>788</v>
      </c>
      <c r="D693" s="10" t="s">
        <v>789</v>
      </c>
      <c r="E693" s="10" t="s">
        <v>16</v>
      </c>
      <c r="F693" s="11">
        <v>0</v>
      </c>
      <c r="G693" s="11">
        <v>3000.0000</v>
      </c>
      <c r="H693" s="11">
        <v>0</v>
      </c>
      <c r="I693" s="11">
        <v>3000.0000</v>
      </c>
      <c r="J693" s="10" t="s">
        <v>46</v>
      </c>
    </row>
    <row r="694" ht="10.95" customHeight="true" customFormat="true" s="8">
      <c r="A694" s="15" t="s">
        <v>790</v>
      </c>
      <c r="B694" s="15"/>
      <c r="C694" s="15"/>
      <c r="D694" s="15"/>
      <c r="E694" s="15"/>
      <c r="F694" s="16">
        <f ca="1">F693</f>
        <v>0</v>
      </c>
      <c r="G694" s="16">
        <f ca="1">G693</f>
        <v>0</v>
      </c>
      <c r="H694" s="16">
        <f ca="1">H693</f>
        <v>0</v>
      </c>
      <c r="I694" s="16">
        <f ca="1">I693</f>
        <v>0</v>
      </c>
      <c r="J694" s="15"/>
    </row>
    <row r="695" ht="13.35" customHeight="true"/>
    <row r="696" ht="12.1" customHeight="true" customFormat="true" s="5">
      <c r="A696" s="17" t="s">
        <v>791</v>
      </c>
      <c r="B696" s="17"/>
      <c r="C696" s="17"/>
      <c r="D696" s="17"/>
      <c r="E696" s="17"/>
      <c r="F696" s="17"/>
      <c r="G696" s="17"/>
      <c r="H696" s="17"/>
      <c r="I696" s="17"/>
      <c r="J696" s="17"/>
    </row>
    <row r="697" ht="10.95" customHeight="true" customFormat="true" s="8">
      <c r="A697" s="9">
        <v>45502</v>
      </c>
      <c r="B697" s="10" t="s">
        <v>36</v>
      </c>
      <c r="C697" s="10" t="s">
        <v>792</v>
      </c>
      <c r="D697" s="10" t="s">
        <v>793</v>
      </c>
      <c r="E697" s="10" t="s">
        <v>16</v>
      </c>
      <c r="F697" s="11">
        <v>0</v>
      </c>
      <c r="G697" s="11">
        <v>309.8100</v>
      </c>
      <c r="H697" s="11">
        <v>0</v>
      </c>
      <c r="I697" s="11">
        <v>309.8100</v>
      </c>
      <c r="J697" s="10" t="s">
        <v>46</v>
      </c>
    </row>
    <row r="698" ht="10.95" customHeight="true" customFormat="true" s="8">
      <c r="A698" s="12">
        <v>45502</v>
      </c>
      <c r="B698" s="13" t="s">
        <v>36</v>
      </c>
      <c r="C698" s="13" t="s">
        <v>794</v>
      </c>
      <c r="D698" s="13" t="s">
        <v>793</v>
      </c>
      <c r="E698" s="13" t="s">
        <v>16</v>
      </c>
      <c r="F698" s="14">
        <v>0</v>
      </c>
      <c r="G698" s="14">
        <v>525.3000</v>
      </c>
      <c r="H698" s="14">
        <v>0</v>
      </c>
      <c r="I698" s="14">
        <v>525.3000</v>
      </c>
      <c r="J698" s="13" t="s">
        <v>46</v>
      </c>
    </row>
    <row r="699" ht="10.95" customHeight="true" customFormat="true" s="8">
      <c r="A699" s="12">
        <v>45502</v>
      </c>
      <c r="B699" s="13" t="s">
        <v>36</v>
      </c>
      <c r="C699" s="13" t="s">
        <v>795</v>
      </c>
      <c r="D699" s="13" t="s">
        <v>793</v>
      </c>
      <c r="E699" s="13" t="s">
        <v>16</v>
      </c>
      <c r="F699" s="14">
        <v>0</v>
      </c>
      <c r="G699" s="14">
        <v>228.1700</v>
      </c>
      <c r="H699" s="14">
        <v>0</v>
      </c>
      <c r="I699" s="14">
        <v>228.1700</v>
      </c>
      <c r="J699" s="13" t="s">
        <v>46</v>
      </c>
    </row>
    <row r="700" ht="10.95" customHeight="true" customFormat="true" s="8">
      <c r="A700" s="12">
        <v>45580</v>
      </c>
      <c r="B700" s="13" t="s">
        <v>36</v>
      </c>
      <c r="C700" s="13" t="s">
        <v>796</v>
      </c>
      <c r="D700" s="13" t="s">
        <v>797</v>
      </c>
      <c r="E700" s="13" t="s">
        <v>16</v>
      </c>
      <c r="F700" s="14">
        <v>0</v>
      </c>
      <c r="G700" s="14">
        <v>100.1700</v>
      </c>
      <c r="H700" s="14">
        <v>0</v>
      </c>
      <c r="I700" s="14">
        <v>100.1700</v>
      </c>
      <c r="J700" s="13" t="s">
        <v>46</v>
      </c>
    </row>
    <row r="701" ht="10.95" customHeight="true" customFormat="true" s="8">
      <c r="A701" s="15" t="s">
        <v>798</v>
      </c>
      <c r="B701" s="15"/>
      <c r="C701" s="15"/>
      <c r="D701" s="15"/>
      <c r="E701" s="15"/>
      <c r="F701" s="16">
        <f ca="1">SUM(F697:F700)</f>
        <v>0</v>
      </c>
      <c r="G701" s="16">
        <f ca="1">SUM(G697:G700)</f>
        <v>0</v>
      </c>
      <c r="H701" s="16">
        <f ca="1">SUM(H697:H700)</f>
        <v>0</v>
      </c>
      <c r="I701" s="16">
        <f ca="1">SUM(I697:I700)</f>
        <v>0</v>
      </c>
      <c r="J701" s="15"/>
    </row>
    <row r="702" ht="13.35" customHeight="true"/>
    <row r="703" ht="12.1" customHeight="true" customFormat="true" s="5">
      <c r="A703" s="17" t="s">
        <v>799</v>
      </c>
      <c r="B703" s="17"/>
      <c r="C703" s="17"/>
      <c r="D703" s="17"/>
      <c r="E703" s="17"/>
      <c r="F703" s="17"/>
      <c r="G703" s="17"/>
      <c r="H703" s="17"/>
      <c r="I703" s="17"/>
      <c r="J703" s="17"/>
    </row>
    <row r="704" ht="10.95" customHeight="true" customFormat="true" s="8">
      <c r="A704" s="9">
        <v>45470</v>
      </c>
      <c r="B704" s="10" t="s">
        <v>36</v>
      </c>
      <c r="C704" s="10" t="s">
        <v>800</v>
      </c>
      <c r="D704" s="10" t="s">
        <v>801</v>
      </c>
      <c r="E704" s="10" t="s">
        <v>16</v>
      </c>
      <c r="F704" s="11">
        <v>0</v>
      </c>
      <c r="G704" s="11">
        <v>6706.0000</v>
      </c>
      <c r="H704" s="11">
        <v>0</v>
      </c>
      <c r="I704" s="11">
        <v>6706.0000</v>
      </c>
      <c r="J704" s="10" t="s">
        <v>125</v>
      </c>
    </row>
    <row r="705" ht="10.95" customHeight="true" customFormat="true" s="8">
      <c r="A705" s="15" t="s">
        <v>802</v>
      </c>
      <c r="B705" s="15"/>
      <c r="C705" s="15"/>
      <c r="D705" s="15"/>
      <c r="E705" s="15"/>
      <c r="F705" s="16">
        <f ca="1">F704</f>
        <v>0</v>
      </c>
      <c r="G705" s="16">
        <f ca="1">G704</f>
        <v>0</v>
      </c>
      <c r="H705" s="16">
        <f ca="1">H704</f>
        <v>0</v>
      </c>
      <c r="I705" s="16">
        <f ca="1">I704</f>
        <v>0</v>
      </c>
      <c r="J705" s="15"/>
    </row>
    <row r="706" ht="13.35" customHeight="true"/>
    <row r="707" ht="12.1" customHeight="true" customFormat="true" s="5">
      <c r="A707" s="17" t="s">
        <v>803</v>
      </c>
      <c r="B707" s="17"/>
      <c r="C707" s="17"/>
      <c r="D707" s="17"/>
      <c r="E707" s="17"/>
      <c r="F707" s="17"/>
      <c r="G707" s="17"/>
      <c r="H707" s="17"/>
      <c r="I707" s="17"/>
      <c r="J707" s="17"/>
    </row>
    <row r="708" ht="10.95" customHeight="true" customFormat="true" s="8">
      <c r="A708" s="9">
        <v>45824</v>
      </c>
      <c r="B708" s="10" t="s">
        <v>36</v>
      </c>
      <c r="C708" s="10" t="s">
        <v>804</v>
      </c>
      <c r="D708" s="10" t="s">
        <v>805</v>
      </c>
      <c r="E708" s="10" t="s">
        <v>16</v>
      </c>
      <c r="F708" s="11">
        <v>0</v>
      </c>
      <c r="G708" s="11">
        <v>2475.0000</v>
      </c>
      <c r="H708" s="11">
        <v>0</v>
      </c>
      <c r="I708" s="11">
        <v>2475.0000</v>
      </c>
      <c r="J708" s="10" t="s">
        <v>18</v>
      </c>
    </row>
    <row r="709" ht="10.95" customHeight="true" customFormat="true" s="8">
      <c r="A709" s="12">
        <v>45951</v>
      </c>
      <c r="B709" s="13" t="s">
        <v>36</v>
      </c>
      <c r="C709" s="13" t="s">
        <v>806</v>
      </c>
      <c r="D709" s="13" t="s">
        <v>807</v>
      </c>
      <c r="E709" s="13" t="s">
        <v>16</v>
      </c>
      <c r="F709" s="14">
        <v>0</v>
      </c>
      <c r="G709" s="14">
        <v>4675.0000</v>
      </c>
      <c r="H709" s="14">
        <v>0</v>
      </c>
      <c r="I709" s="14">
        <v>4675.0000</v>
      </c>
      <c r="J709" s="13" t="s">
        <v>46</v>
      </c>
    </row>
    <row r="710" ht="10.95" customHeight="true" customFormat="true" s="8">
      <c r="A710" s="12">
        <v>45951</v>
      </c>
      <c r="B710" s="13" t="s">
        <v>36</v>
      </c>
      <c r="C710" s="13" t="s">
        <v>808</v>
      </c>
      <c r="D710" s="13" t="s">
        <v>807</v>
      </c>
      <c r="E710" s="13" t="s">
        <v>16</v>
      </c>
      <c r="F710" s="14">
        <v>0</v>
      </c>
      <c r="G710" s="14">
        <v>9350.0000</v>
      </c>
      <c r="H710" s="14">
        <v>0</v>
      </c>
      <c r="I710" s="14">
        <v>9350.0000</v>
      </c>
      <c r="J710" s="13" t="s">
        <v>46</v>
      </c>
    </row>
    <row r="711" ht="10.95" customHeight="true" customFormat="true" s="8">
      <c r="A711" s="15" t="s">
        <v>809</v>
      </c>
      <c r="B711" s="15"/>
      <c r="C711" s="15"/>
      <c r="D711" s="15"/>
      <c r="E711" s="15"/>
      <c r="F711" s="16">
        <f ca="1">SUM(F708:F710)</f>
        <v>0</v>
      </c>
      <c r="G711" s="16">
        <f ca="1">SUM(G708:G710)</f>
        <v>0</v>
      </c>
      <c r="H711" s="16">
        <f ca="1">SUM(H708:H710)</f>
        <v>0</v>
      </c>
      <c r="I711" s="16">
        <f ca="1">SUM(I708:I710)</f>
        <v>0</v>
      </c>
      <c r="J711" s="15"/>
    </row>
    <row r="712" ht="13.35" customHeight="true"/>
    <row r="713" ht="12.1" customHeight="true" customFormat="true" s="5">
      <c r="A713" s="17" t="s">
        <v>810</v>
      </c>
      <c r="B713" s="17"/>
      <c r="C713" s="17"/>
      <c r="D713" s="17"/>
      <c r="E713" s="17"/>
      <c r="F713" s="17"/>
      <c r="G713" s="17"/>
      <c r="H713" s="17"/>
      <c r="I713" s="17"/>
      <c r="J713" s="17"/>
    </row>
    <row r="714" ht="10.95" customHeight="true" customFormat="true" s="8">
      <c r="A714" s="9">
        <v>45209</v>
      </c>
      <c r="B714" s="10" t="s">
        <v>36</v>
      </c>
      <c r="C714" s="10" t="s">
        <v>811</v>
      </c>
      <c r="D714" s="10" t="s">
        <v>812</v>
      </c>
      <c r="E714" s="10" t="s">
        <v>16</v>
      </c>
      <c r="F714" s="11">
        <v>0</v>
      </c>
      <c r="G714" s="11">
        <v>5000.0000</v>
      </c>
      <c r="H714" s="11">
        <v>0</v>
      </c>
      <c r="I714" s="11">
        <v>5000.0000</v>
      </c>
      <c r="J714" s="10" t="s">
        <v>24</v>
      </c>
    </row>
    <row r="715" ht="10.95" customHeight="true" customFormat="true" s="8">
      <c r="A715" s="12">
        <v>45260</v>
      </c>
      <c r="B715" s="13" t="s">
        <v>36</v>
      </c>
      <c r="C715" s="13" t="s">
        <v>813</v>
      </c>
      <c r="D715" s="13" t="s">
        <v>814</v>
      </c>
      <c r="E715" s="13" t="s">
        <v>16</v>
      </c>
      <c r="F715" s="14">
        <v>0</v>
      </c>
      <c r="G715" s="14">
        <v>1666.6700</v>
      </c>
      <c r="H715" s="14">
        <v>0</v>
      </c>
      <c r="I715" s="14">
        <v>1666.6700</v>
      </c>
      <c r="J715" s="13" t="s">
        <v>430</v>
      </c>
    </row>
    <row r="716" ht="10.95" customHeight="true" customFormat="true" s="8">
      <c r="A716" s="15" t="s">
        <v>815</v>
      </c>
      <c r="B716" s="15"/>
      <c r="C716" s="15"/>
      <c r="D716" s="15"/>
      <c r="E716" s="15"/>
      <c r="F716" s="16">
        <f ca="1">SUM(F714:F715)</f>
        <v>0</v>
      </c>
      <c r="G716" s="16">
        <f ca="1">SUM(G714:G715)</f>
        <v>0</v>
      </c>
      <c r="H716" s="16">
        <f ca="1">SUM(H714:H715)</f>
        <v>0</v>
      </c>
      <c r="I716" s="16">
        <f ca="1">SUM(I714:I715)</f>
        <v>0</v>
      </c>
      <c r="J716" s="15"/>
    </row>
    <row r="717" ht="13.35" customHeight="true"/>
    <row r="718" ht="12.1" customHeight="true" customFormat="true" s="5">
      <c r="A718" s="17" t="s">
        <v>816</v>
      </c>
      <c r="B718" s="17"/>
      <c r="C718" s="17"/>
      <c r="D718" s="17"/>
      <c r="E718" s="17"/>
      <c r="F718" s="17"/>
      <c r="G718" s="17"/>
      <c r="H718" s="17"/>
      <c r="I718" s="17"/>
      <c r="J718" s="17"/>
    </row>
    <row r="719" ht="10.95" customHeight="true" customFormat="true" s="8">
      <c r="A719" s="9">
        <v>45579</v>
      </c>
      <c r="B719" s="10" t="s">
        <v>36</v>
      </c>
      <c r="C719" s="10" t="s">
        <v>817</v>
      </c>
      <c r="D719" s="10" t="s">
        <v>818</v>
      </c>
      <c r="E719" s="10" t="s">
        <v>16</v>
      </c>
      <c r="F719" s="11">
        <v>0</v>
      </c>
      <c r="G719" s="11">
        <v>1560.0000</v>
      </c>
      <c r="H719" s="11">
        <v>0</v>
      </c>
      <c r="I719" s="11">
        <v>1560.0000</v>
      </c>
      <c r="J719" s="10" t="s">
        <v>46</v>
      </c>
    </row>
    <row r="720" ht="10.95" customHeight="true" customFormat="true" s="8">
      <c r="A720" s="12">
        <v>45579</v>
      </c>
      <c r="B720" s="13" t="s">
        <v>36</v>
      </c>
      <c r="C720" s="13" t="s">
        <v>819</v>
      </c>
      <c r="D720" s="13" t="s">
        <v>818</v>
      </c>
      <c r="E720" s="13" t="s">
        <v>16</v>
      </c>
      <c r="F720" s="14">
        <v>0</v>
      </c>
      <c r="G720" s="14">
        <v>1560.0000</v>
      </c>
      <c r="H720" s="14">
        <v>0</v>
      </c>
      <c r="I720" s="14">
        <v>1560.0000</v>
      </c>
      <c r="J720" s="13" t="s">
        <v>46</v>
      </c>
    </row>
    <row r="721" ht="10.95" customHeight="true" customFormat="true" s="8">
      <c r="A721" s="12">
        <v>45692</v>
      </c>
      <c r="B721" s="13" t="s">
        <v>36</v>
      </c>
      <c r="C721" s="13" t="s">
        <v>819</v>
      </c>
      <c r="D721" s="13" t="s">
        <v>820</v>
      </c>
      <c r="E721" s="13" t="s">
        <v>16</v>
      </c>
      <c r="F721" s="14">
        <v>0</v>
      </c>
      <c r="G721" s="14">
        <v>1560.0000</v>
      </c>
      <c r="H721" s="14">
        <v>0</v>
      </c>
      <c r="I721" s="14">
        <v>1560.0000</v>
      </c>
      <c r="J721" s="13" t="s">
        <v>46</v>
      </c>
    </row>
    <row r="722" ht="10.95" customHeight="true" customFormat="true" s="8">
      <c r="A722" s="12">
        <v>45692</v>
      </c>
      <c r="B722" s="13" t="s">
        <v>36</v>
      </c>
      <c r="C722" s="13" t="s">
        <v>817</v>
      </c>
      <c r="D722" s="13" t="s">
        <v>820</v>
      </c>
      <c r="E722" s="13" t="s">
        <v>16</v>
      </c>
      <c r="F722" s="14">
        <v>0</v>
      </c>
      <c r="G722" s="14">
        <v>1560.0000</v>
      </c>
      <c r="H722" s="14">
        <v>0</v>
      </c>
      <c r="I722" s="14">
        <v>1560.0000</v>
      </c>
      <c r="J722" s="13" t="s">
        <v>46</v>
      </c>
    </row>
    <row r="723" ht="10.95" customHeight="true" customFormat="true" s="8">
      <c r="A723" s="12">
        <v>46091</v>
      </c>
      <c r="B723" s="13" t="s">
        <v>36</v>
      </c>
      <c r="C723" s="13" t="s">
        <v>817</v>
      </c>
      <c r="D723" s="13" t="s">
        <v>821</v>
      </c>
      <c r="E723" s="13" t="s">
        <v>16</v>
      </c>
      <c r="F723" s="14">
        <v>0</v>
      </c>
      <c r="G723" s="14">
        <v>2340.0000</v>
      </c>
      <c r="H723" s="14">
        <v>0</v>
      </c>
      <c r="I723" s="14">
        <v>2340.0000</v>
      </c>
      <c r="J723" s="13" t="s">
        <v>46</v>
      </c>
    </row>
    <row r="724" ht="10.95" customHeight="true" customFormat="true" s="8">
      <c r="A724" s="12">
        <v>46091</v>
      </c>
      <c r="B724" s="13" t="s">
        <v>36</v>
      </c>
      <c r="C724" s="13" t="s">
        <v>819</v>
      </c>
      <c r="D724" s="13" t="s">
        <v>821</v>
      </c>
      <c r="E724" s="13" t="s">
        <v>16</v>
      </c>
      <c r="F724" s="14">
        <v>0</v>
      </c>
      <c r="G724" s="14">
        <v>2340.0000</v>
      </c>
      <c r="H724" s="14">
        <v>0</v>
      </c>
      <c r="I724" s="14">
        <v>2340.0000</v>
      </c>
      <c r="J724" s="13" t="s">
        <v>46</v>
      </c>
    </row>
    <row r="725" ht="10.95" customHeight="true" customFormat="true" s="8">
      <c r="A725" s="12">
        <v>46189</v>
      </c>
      <c r="B725" s="13" t="s">
        <v>36</v>
      </c>
      <c r="C725" s="13" t="s">
        <v>819</v>
      </c>
      <c r="D725" s="13" t="s">
        <v>822</v>
      </c>
      <c r="E725" s="13" t="s">
        <v>16</v>
      </c>
      <c r="F725" s="14">
        <v>0</v>
      </c>
      <c r="G725" s="14">
        <v>2340.0000</v>
      </c>
      <c r="H725" s="14">
        <v>0</v>
      </c>
      <c r="I725" s="14">
        <v>2340.0000</v>
      </c>
      <c r="J725" s="13" t="s">
        <v>46</v>
      </c>
    </row>
    <row r="726" ht="10.95" customHeight="true" customFormat="true" s="8">
      <c r="A726" s="12">
        <v>46189</v>
      </c>
      <c r="B726" s="13" t="s">
        <v>36</v>
      </c>
      <c r="C726" s="13" t="s">
        <v>817</v>
      </c>
      <c r="D726" s="13" t="s">
        <v>822</v>
      </c>
      <c r="E726" s="13" t="s">
        <v>16</v>
      </c>
      <c r="F726" s="14">
        <v>0</v>
      </c>
      <c r="G726" s="14">
        <v>2340.0000</v>
      </c>
      <c r="H726" s="14">
        <v>0</v>
      </c>
      <c r="I726" s="14">
        <v>2340.0000</v>
      </c>
      <c r="J726" s="13" t="s">
        <v>46</v>
      </c>
    </row>
    <row r="727" ht="10.95" customHeight="true" customFormat="true" s="8">
      <c r="A727" s="15" t="s">
        <v>823</v>
      </c>
      <c r="B727" s="15"/>
      <c r="C727" s="15"/>
      <c r="D727" s="15"/>
      <c r="E727" s="15"/>
      <c r="F727" s="16">
        <f ca="1">SUM(F719:F726)</f>
        <v>0</v>
      </c>
      <c r="G727" s="16">
        <f ca="1">SUM(G719:G726)</f>
        <v>0</v>
      </c>
      <c r="H727" s="16">
        <f ca="1">SUM(H719:H726)</f>
        <v>0</v>
      </c>
      <c r="I727" s="16">
        <f ca="1">SUM(I719:I726)</f>
        <v>0</v>
      </c>
      <c r="J727" s="15"/>
    </row>
    <row r="728" ht="13.35" customHeight="true"/>
    <row r="729" ht="12.1" customHeight="true" customFormat="true" s="5">
      <c r="A729" s="17" t="s">
        <v>824</v>
      </c>
      <c r="B729" s="17"/>
      <c r="C729" s="17"/>
      <c r="D729" s="17"/>
      <c r="E729" s="17"/>
      <c r="F729" s="17"/>
      <c r="G729" s="17"/>
      <c r="H729" s="17"/>
      <c r="I729" s="17"/>
      <c r="J729" s="17"/>
    </row>
    <row r="730" ht="10.95" customHeight="true" customFormat="true" s="8">
      <c r="A730" s="9">
        <v>45734</v>
      </c>
      <c r="B730" s="10" t="s">
        <v>36</v>
      </c>
      <c r="C730" s="10" t="s">
        <v>825</v>
      </c>
      <c r="D730" s="10" t="s">
        <v>826</v>
      </c>
      <c r="E730" s="10" t="s">
        <v>16</v>
      </c>
      <c r="F730" s="11">
        <v>0</v>
      </c>
      <c r="G730" s="11">
        <v>4257.3600</v>
      </c>
      <c r="H730" s="11">
        <v>0</v>
      </c>
      <c r="I730" s="11">
        <v>4257.3600</v>
      </c>
      <c r="J730" s="10" t="s">
        <v>18</v>
      </c>
    </row>
    <row r="731" ht="10.95" customHeight="true" customFormat="true" s="8">
      <c r="A731" s="15" t="s">
        <v>827</v>
      </c>
      <c r="B731" s="15"/>
      <c r="C731" s="15"/>
      <c r="D731" s="15"/>
      <c r="E731" s="15"/>
      <c r="F731" s="16">
        <f ca="1">F730</f>
        <v>0</v>
      </c>
      <c r="G731" s="16">
        <f ca="1">G730</f>
        <v>0</v>
      </c>
      <c r="H731" s="16">
        <f ca="1">H730</f>
        <v>0</v>
      </c>
      <c r="I731" s="16">
        <f ca="1">I730</f>
        <v>0</v>
      </c>
      <c r="J731" s="15"/>
    </row>
    <row r="732" ht="13.35" customHeight="true"/>
    <row r="733" ht="12.1" customHeight="true" customFormat="true" s="5">
      <c r="A733" s="17" t="s">
        <v>828</v>
      </c>
      <c r="B733" s="17"/>
      <c r="C733" s="17"/>
      <c r="D733" s="17"/>
      <c r="E733" s="17"/>
      <c r="F733" s="17"/>
      <c r="G733" s="17"/>
      <c r="H733" s="17"/>
      <c r="I733" s="17"/>
      <c r="J733" s="17"/>
    </row>
    <row r="734" ht="10.95" customHeight="true" customFormat="true" s="8">
      <c r="A734" s="9">
        <v>45726</v>
      </c>
      <c r="B734" s="10" t="s">
        <v>36</v>
      </c>
      <c r="C734" s="10" t="s">
        <v>829</v>
      </c>
      <c r="D734" s="10" t="s">
        <v>830</v>
      </c>
      <c r="E734" s="10" t="s">
        <v>16</v>
      </c>
      <c r="F734" s="11">
        <v>0</v>
      </c>
      <c r="G734" s="11">
        <v>27240.8900</v>
      </c>
      <c r="H734" s="11">
        <v>0</v>
      </c>
      <c r="I734" s="11">
        <v>27240.8900</v>
      </c>
      <c r="J734" s="10" t="s">
        <v>23</v>
      </c>
    </row>
    <row r="735" ht="10.95" customHeight="true" customFormat="true" s="8">
      <c r="A735" s="12">
        <v>45726</v>
      </c>
      <c r="B735" s="13" t="s">
        <v>36</v>
      </c>
      <c r="C735" s="13" t="s">
        <v>831</v>
      </c>
      <c r="D735" s="13" t="s">
        <v>830</v>
      </c>
      <c r="E735" s="13" t="s">
        <v>16</v>
      </c>
      <c r="F735" s="14">
        <v>0</v>
      </c>
      <c r="G735" s="14">
        <v>5349.5300</v>
      </c>
      <c r="H735" s="14">
        <v>0</v>
      </c>
      <c r="I735" s="14">
        <v>5349.5300</v>
      </c>
      <c r="J735" s="13" t="s">
        <v>23</v>
      </c>
    </row>
    <row r="736" ht="10.95" customHeight="true" customFormat="true" s="8">
      <c r="A736" s="12">
        <v>45726</v>
      </c>
      <c r="B736" s="13" t="s">
        <v>36</v>
      </c>
      <c r="C736" s="13" t="s">
        <v>832</v>
      </c>
      <c r="D736" s="13" t="s">
        <v>830</v>
      </c>
      <c r="E736" s="13" t="s">
        <v>16</v>
      </c>
      <c r="F736" s="14">
        <v>0</v>
      </c>
      <c r="G736" s="14">
        <v>1800.0000</v>
      </c>
      <c r="H736" s="14">
        <v>0</v>
      </c>
      <c r="I736" s="14">
        <v>1800.0000</v>
      </c>
      <c r="J736" s="13" t="s">
        <v>24</v>
      </c>
    </row>
    <row r="737" ht="10.95" customHeight="true" customFormat="true" s="8">
      <c r="A737" s="12">
        <v>45754</v>
      </c>
      <c r="B737" s="13" t="s">
        <v>36</v>
      </c>
      <c r="C737" s="13" t="s">
        <v>833</v>
      </c>
      <c r="D737" s="13" t="s">
        <v>834</v>
      </c>
      <c r="E737" s="13" t="s">
        <v>16</v>
      </c>
      <c r="F737" s="14">
        <v>0</v>
      </c>
      <c r="G737" s="14">
        <v>764.1000</v>
      </c>
      <c r="H737" s="14">
        <v>0</v>
      </c>
      <c r="I737" s="14">
        <v>764.1000</v>
      </c>
      <c r="J737" s="13" t="s">
        <v>23</v>
      </c>
    </row>
    <row r="738" ht="10.95" customHeight="true" customFormat="true" s="8">
      <c r="A738" s="12">
        <v>45754</v>
      </c>
      <c r="B738" s="13" t="s">
        <v>36</v>
      </c>
      <c r="C738" s="13" t="s">
        <v>835</v>
      </c>
      <c r="D738" s="13" t="s">
        <v>834</v>
      </c>
      <c r="E738" s="13" t="s">
        <v>16</v>
      </c>
      <c r="F738" s="14">
        <v>0</v>
      </c>
      <c r="G738" s="14">
        <v>300.0000</v>
      </c>
      <c r="H738" s="14">
        <v>0</v>
      </c>
      <c r="I738" s="14">
        <v>300.0000</v>
      </c>
      <c r="J738" s="13" t="s">
        <v>23</v>
      </c>
    </row>
    <row r="739" ht="10.95" customHeight="true" customFormat="true" s="8">
      <c r="A739" s="12">
        <v>45754</v>
      </c>
      <c r="B739" s="13" t="s">
        <v>36</v>
      </c>
      <c r="C739" s="13" t="s">
        <v>836</v>
      </c>
      <c r="D739" s="13" t="s">
        <v>834</v>
      </c>
      <c r="E739" s="13" t="s">
        <v>16</v>
      </c>
      <c r="F739" s="14">
        <v>0</v>
      </c>
      <c r="G739" s="14">
        <v>250.0000</v>
      </c>
      <c r="H739" s="14">
        <v>0</v>
      </c>
      <c r="I739" s="14">
        <v>250.0000</v>
      </c>
      <c r="J739" s="13" t="s">
        <v>23</v>
      </c>
    </row>
    <row r="740" ht="10.95" customHeight="true" customFormat="true" s="8">
      <c r="A740" s="12">
        <v>45754</v>
      </c>
      <c r="B740" s="13" t="s">
        <v>36</v>
      </c>
      <c r="C740" s="13" t="s">
        <v>837</v>
      </c>
      <c r="D740" s="13" t="s">
        <v>834</v>
      </c>
      <c r="E740" s="13" t="s">
        <v>16</v>
      </c>
      <c r="F740" s="14">
        <v>0</v>
      </c>
      <c r="G740" s="14">
        <v>590.0000</v>
      </c>
      <c r="H740" s="14">
        <v>0</v>
      </c>
      <c r="I740" s="14">
        <v>590.0000</v>
      </c>
      <c r="J740" s="13" t="s">
        <v>23</v>
      </c>
    </row>
    <row r="741" ht="10.95" customHeight="true" customFormat="true" s="8">
      <c r="A741" s="12">
        <v>45754</v>
      </c>
      <c r="B741" s="13" t="s">
        <v>36</v>
      </c>
      <c r="C741" s="13" t="s">
        <v>838</v>
      </c>
      <c r="D741" s="13" t="s">
        <v>834</v>
      </c>
      <c r="E741" s="13" t="s">
        <v>16</v>
      </c>
      <c r="F741" s="14">
        <v>0</v>
      </c>
      <c r="G741" s="14">
        <v>600.0000</v>
      </c>
      <c r="H741" s="14">
        <v>0</v>
      </c>
      <c r="I741" s="14">
        <v>600.0000</v>
      </c>
      <c r="J741" s="13" t="s">
        <v>23</v>
      </c>
    </row>
    <row r="742" ht="10.95" customHeight="true" customFormat="true" s="8">
      <c r="A742" s="15" t="s">
        <v>839</v>
      </c>
      <c r="B742" s="15"/>
      <c r="C742" s="15"/>
      <c r="D742" s="15"/>
      <c r="E742" s="15"/>
      <c r="F742" s="16">
        <f ca="1">SUM(F734:F741)</f>
        <v>0</v>
      </c>
      <c r="G742" s="16">
        <f ca="1">SUM(G734:G741)</f>
        <v>0</v>
      </c>
      <c r="H742" s="16">
        <f ca="1">SUM(H734:H741)</f>
        <v>0</v>
      </c>
      <c r="I742" s="16">
        <f ca="1">SUM(I734:I741)</f>
        <v>0</v>
      </c>
      <c r="J742" s="15"/>
    </row>
    <row r="743" ht="13.35" customHeight="true"/>
    <row r="744" ht="12.1" customHeight="true" customFormat="true" s="5">
      <c r="A744" s="17" t="s">
        <v>840</v>
      </c>
      <c r="B744" s="17"/>
      <c r="C744" s="17"/>
      <c r="D744" s="17"/>
      <c r="E744" s="17"/>
      <c r="F744" s="17"/>
      <c r="G744" s="17"/>
      <c r="H744" s="17"/>
      <c r="I744" s="17"/>
      <c r="J744" s="17"/>
    </row>
    <row r="745" ht="10.95" customHeight="true" customFormat="true" s="8">
      <c r="A745" s="9">
        <v>45771</v>
      </c>
      <c r="B745" s="10" t="s">
        <v>36</v>
      </c>
      <c r="C745" s="10" t="s">
        <v>841</v>
      </c>
      <c r="D745" s="10" t="s">
        <v>842</v>
      </c>
      <c r="E745" s="10" t="s">
        <v>16</v>
      </c>
      <c r="F745" s="11">
        <v>0</v>
      </c>
      <c r="G745" s="11">
        <v>6480.0000</v>
      </c>
      <c r="H745" s="11">
        <v>0</v>
      </c>
      <c r="I745" s="11">
        <v>6480.0000</v>
      </c>
      <c r="J745" s="10" t="s">
        <v>23</v>
      </c>
    </row>
    <row r="746" ht="10.95" customHeight="true" customFormat="true" s="8">
      <c r="A746" s="12">
        <v>45771</v>
      </c>
      <c r="B746" s="13" t="s">
        <v>36</v>
      </c>
      <c r="C746" s="13" t="s">
        <v>843</v>
      </c>
      <c r="D746" s="13" t="s">
        <v>842</v>
      </c>
      <c r="E746" s="13" t="s">
        <v>16</v>
      </c>
      <c r="F746" s="14">
        <v>0</v>
      </c>
      <c r="G746" s="14">
        <v>225.0000</v>
      </c>
      <c r="H746" s="14">
        <v>0</v>
      </c>
      <c r="I746" s="14">
        <v>225.0000</v>
      </c>
      <c r="J746" s="13" t="s">
        <v>23</v>
      </c>
    </row>
    <row r="747" ht="10.95" customHeight="true" customFormat="true" s="8">
      <c r="A747" s="15" t="s">
        <v>844</v>
      </c>
      <c r="B747" s="15"/>
      <c r="C747" s="15"/>
      <c r="D747" s="15"/>
      <c r="E747" s="15"/>
      <c r="F747" s="16">
        <f ca="1">SUM(F745:F746)</f>
        <v>0</v>
      </c>
      <c r="G747" s="16">
        <f ca="1">SUM(G745:G746)</f>
        <v>0</v>
      </c>
      <c r="H747" s="16">
        <f ca="1">SUM(H745:H746)</f>
        <v>0</v>
      </c>
      <c r="I747" s="16">
        <f ca="1">SUM(I745:I746)</f>
        <v>0</v>
      </c>
      <c r="J747" s="15"/>
    </row>
    <row r="748" ht="13.35" customHeight="true"/>
    <row r="749" ht="12.1" customHeight="true" customFormat="true" s="5">
      <c r="A749" s="17" t="s">
        <v>845</v>
      </c>
      <c r="B749" s="17"/>
      <c r="C749" s="17"/>
      <c r="D749" s="17"/>
      <c r="E749" s="17"/>
      <c r="F749" s="17"/>
      <c r="G749" s="17"/>
      <c r="H749" s="17"/>
      <c r="I749" s="17"/>
      <c r="J749" s="17"/>
    </row>
    <row r="750" ht="10.95" customHeight="true" customFormat="true" s="8">
      <c r="A750" s="9">
        <v>45797</v>
      </c>
      <c r="B750" s="10" t="s">
        <v>36</v>
      </c>
      <c r="C750" s="10" t="s">
        <v>846</v>
      </c>
      <c r="D750" s="10" t="s">
        <v>847</v>
      </c>
      <c r="E750" s="10" t="s">
        <v>16</v>
      </c>
      <c r="F750" s="11">
        <v>0</v>
      </c>
      <c r="G750" s="11">
        <v>21.8700</v>
      </c>
      <c r="H750" s="11">
        <v>0</v>
      </c>
      <c r="I750" s="11">
        <v>21.8700</v>
      </c>
      <c r="J750" s="10" t="s">
        <v>46</v>
      </c>
    </row>
    <row r="751" ht="10.95" customHeight="true" customFormat="true" s="8">
      <c r="A751" s="15" t="s">
        <v>848</v>
      </c>
      <c r="B751" s="15"/>
      <c r="C751" s="15"/>
      <c r="D751" s="15"/>
      <c r="E751" s="15"/>
      <c r="F751" s="16">
        <f ca="1">F750</f>
        <v>0</v>
      </c>
      <c r="G751" s="16">
        <f ca="1">G750</f>
        <v>0</v>
      </c>
      <c r="H751" s="16">
        <f ca="1">H750</f>
        <v>0</v>
      </c>
      <c r="I751" s="16">
        <f ca="1">I750</f>
        <v>0</v>
      </c>
      <c r="J751" s="15"/>
    </row>
    <row r="752" ht="13.35" customHeight="true"/>
    <row r="753" ht="12.1" customHeight="true" customFormat="true" s="5">
      <c r="A753" s="17" t="s">
        <v>849</v>
      </c>
      <c r="B753" s="17"/>
      <c r="C753" s="17"/>
      <c r="D753" s="17"/>
      <c r="E753" s="17"/>
      <c r="F753" s="17"/>
      <c r="G753" s="17"/>
      <c r="H753" s="17"/>
      <c r="I753" s="17"/>
      <c r="J753" s="17"/>
    </row>
    <row r="754" ht="10.95" customHeight="true" customFormat="true" s="8">
      <c r="A754" s="9">
        <v>45821</v>
      </c>
      <c r="B754" s="10" t="s">
        <v>36</v>
      </c>
      <c r="C754" s="10" t="s">
        <v>850</v>
      </c>
      <c r="D754" s="10" t="s">
        <v>851</v>
      </c>
      <c r="E754" s="10" t="s">
        <v>16</v>
      </c>
      <c r="F754" s="11">
        <v>0</v>
      </c>
      <c r="G754" s="11">
        <v>3390.6000</v>
      </c>
      <c r="H754" s="11">
        <v>0</v>
      </c>
      <c r="I754" s="11">
        <v>3390.6000</v>
      </c>
      <c r="J754" s="10" t="s">
        <v>20</v>
      </c>
    </row>
    <row r="755" ht="10.95" customHeight="true" customFormat="true" s="8">
      <c r="A755" s="15" t="s">
        <v>852</v>
      </c>
      <c r="B755" s="15"/>
      <c r="C755" s="15"/>
      <c r="D755" s="15"/>
      <c r="E755" s="15"/>
      <c r="F755" s="16">
        <f ca="1">F754</f>
        <v>0</v>
      </c>
      <c r="G755" s="16">
        <f ca="1">G754</f>
        <v>0</v>
      </c>
      <c r="H755" s="16">
        <f ca="1">H754</f>
        <v>0</v>
      </c>
      <c r="I755" s="16">
        <f ca="1">I754</f>
        <v>0</v>
      </c>
      <c r="J755" s="15"/>
    </row>
    <row r="756" ht="13.35" customHeight="true"/>
    <row r="757" ht="12.1" customHeight="true" customFormat="true" s="5">
      <c r="A757" s="17" t="s">
        <v>853</v>
      </c>
      <c r="B757" s="17"/>
      <c r="C757" s="17"/>
      <c r="D757" s="17"/>
      <c r="E757" s="17"/>
      <c r="F757" s="17"/>
      <c r="G757" s="17"/>
      <c r="H757" s="17"/>
      <c r="I757" s="17"/>
      <c r="J757" s="17"/>
    </row>
    <row r="758" ht="10.95" customHeight="true" customFormat="true" s="8">
      <c r="A758" s="9">
        <v>45435</v>
      </c>
      <c r="B758" s="10" t="s">
        <v>36</v>
      </c>
      <c r="C758" s="10" t="s">
        <v>854</v>
      </c>
      <c r="D758" s="10" t="s">
        <v>855</v>
      </c>
      <c r="E758" s="10" t="s">
        <v>16</v>
      </c>
      <c r="F758" s="11">
        <v>0</v>
      </c>
      <c r="G758" s="11">
        <v>2495.0000</v>
      </c>
      <c r="H758" s="11">
        <v>0</v>
      </c>
      <c r="I758" s="11">
        <v>2495.0000</v>
      </c>
      <c r="J758" s="10" t="s">
        <v>46</v>
      </c>
    </row>
    <row r="759" ht="10.95" customHeight="true" customFormat="true" s="8">
      <c r="A759" s="15" t="s">
        <v>856</v>
      </c>
      <c r="B759" s="15"/>
      <c r="C759" s="15"/>
      <c r="D759" s="15"/>
      <c r="E759" s="15"/>
      <c r="F759" s="16">
        <f ca="1">F758</f>
        <v>0</v>
      </c>
      <c r="G759" s="16">
        <f ca="1">G758</f>
        <v>0</v>
      </c>
      <c r="H759" s="16">
        <f ca="1">H758</f>
        <v>0</v>
      </c>
      <c r="I759" s="16">
        <f ca="1">I758</f>
        <v>0</v>
      </c>
      <c r="J759" s="15"/>
    </row>
    <row r="760" ht="13.35" customHeight="true"/>
    <row r="761" ht="12.1" customHeight="true" customFormat="true" s="5">
      <c r="A761" s="17" t="s">
        <v>857</v>
      </c>
      <c r="B761" s="17"/>
      <c r="C761" s="17"/>
      <c r="D761" s="17"/>
      <c r="E761" s="17"/>
      <c r="F761" s="17"/>
      <c r="G761" s="17"/>
      <c r="H761" s="17"/>
      <c r="I761" s="17"/>
      <c r="J761" s="17"/>
    </row>
    <row r="762" ht="10.95" customHeight="true" customFormat="true" s="8">
      <c r="A762" s="9">
        <v>45842</v>
      </c>
      <c r="B762" s="10" t="s">
        <v>36</v>
      </c>
      <c r="C762" s="10" t="s">
        <v>858</v>
      </c>
      <c r="D762" s="10" t="s">
        <v>859</v>
      </c>
      <c r="E762" s="10" t="s">
        <v>16</v>
      </c>
      <c r="F762" s="11">
        <v>0</v>
      </c>
      <c r="G762" s="11">
        <v>493.5600</v>
      </c>
      <c r="H762" s="11">
        <v>0</v>
      </c>
      <c r="I762" s="11">
        <v>493.5600</v>
      </c>
      <c r="J762" s="10" t="s">
        <v>46</v>
      </c>
    </row>
    <row r="763" ht="10.95" customHeight="true" customFormat="true" s="8">
      <c r="A763" s="12">
        <v>46007</v>
      </c>
      <c r="B763" s="13" t="s">
        <v>36</v>
      </c>
      <c r="C763" s="13" t="s">
        <v>860</v>
      </c>
      <c r="D763" s="13" t="s">
        <v>861</v>
      </c>
      <c r="E763" s="13" t="s">
        <v>16</v>
      </c>
      <c r="F763" s="14">
        <v>0</v>
      </c>
      <c r="G763" s="14">
        <v>702.0000</v>
      </c>
      <c r="H763" s="14">
        <v>0</v>
      </c>
      <c r="I763" s="14">
        <v>702.0000</v>
      </c>
      <c r="J763" s="13" t="s">
        <v>46</v>
      </c>
    </row>
    <row r="764" ht="10.95" customHeight="true" customFormat="true" s="8">
      <c r="A764" s="12">
        <v>46007</v>
      </c>
      <c r="B764" s="13" t="s">
        <v>36</v>
      </c>
      <c r="C764" s="13" t="s">
        <v>862</v>
      </c>
      <c r="D764" s="13" t="s">
        <v>861</v>
      </c>
      <c r="E764" s="13" t="s">
        <v>16</v>
      </c>
      <c r="F764" s="14">
        <v>0</v>
      </c>
      <c r="G764" s="14">
        <v>702.0000</v>
      </c>
      <c r="H764" s="14">
        <v>0</v>
      </c>
      <c r="I764" s="14">
        <v>702.0000</v>
      </c>
      <c r="J764" s="13" t="s">
        <v>46</v>
      </c>
    </row>
    <row r="765" ht="10.95" customHeight="true" customFormat="true" s="8">
      <c r="A765" s="12">
        <v>46076</v>
      </c>
      <c r="B765" s="13" t="s">
        <v>36</v>
      </c>
      <c r="C765" s="13" t="s">
        <v>863</v>
      </c>
      <c r="D765" s="13" t="s">
        <v>864</v>
      </c>
      <c r="E765" s="13" t="s">
        <v>16</v>
      </c>
      <c r="F765" s="14">
        <v>0</v>
      </c>
      <c r="G765" s="14">
        <v>1906.7400</v>
      </c>
      <c r="H765" s="14">
        <v>0</v>
      </c>
      <c r="I765" s="14">
        <v>1906.7400</v>
      </c>
      <c r="J765" s="13" t="s">
        <v>46</v>
      </c>
    </row>
    <row r="766" ht="10.95" customHeight="true" customFormat="true" s="8">
      <c r="A766" s="15" t="s">
        <v>865</v>
      </c>
      <c r="B766" s="15"/>
      <c r="C766" s="15"/>
      <c r="D766" s="15"/>
      <c r="E766" s="15"/>
      <c r="F766" s="16">
        <f ca="1">SUM(F762:F765)</f>
        <v>0</v>
      </c>
      <c r="G766" s="16">
        <f ca="1">SUM(G762:G765)</f>
        <v>0</v>
      </c>
      <c r="H766" s="16">
        <f ca="1">SUM(H762:H765)</f>
        <v>0</v>
      </c>
      <c r="I766" s="16">
        <f ca="1">SUM(I762:I765)</f>
        <v>0</v>
      </c>
      <c r="J766" s="15"/>
    </row>
    <row r="767" ht="13.35" customHeight="true"/>
    <row r="768" ht="12.1" customHeight="true" customFormat="true" s="5">
      <c r="A768" s="17" t="s">
        <v>866</v>
      </c>
      <c r="B768" s="17"/>
      <c r="C768" s="17"/>
      <c r="D768" s="17"/>
      <c r="E768" s="17"/>
      <c r="F768" s="17"/>
      <c r="G768" s="17"/>
      <c r="H768" s="17"/>
      <c r="I768" s="17"/>
      <c r="J768" s="17"/>
    </row>
    <row r="769" ht="10.95" customHeight="true" customFormat="true" s="8">
      <c r="A769" s="9">
        <v>46170</v>
      </c>
      <c r="B769" s="10" t="s">
        <v>36</v>
      </c>
      <c r="C769" s="10" t="s">
        <v>867</v>
      </c>
      <c r="D769" s="10" t="s">
        <v>868</v>
      </c>
      <c r="E769" s="10" t="s">
        <v>16</v>
      </c>
      <c r="F769" s="11">
        <v>0</v>
      </c>
      <c r="G769" s="11">
        <v>883.0000</v>
      </c>
      <c r="H769" s="11">
        <v>0</v>
      </c>
      <c r="I769" s="11">
        <v>883.0000</v>
      </c>
      <c r="J769" s="10" t="s">
        <v>46</v>
      </c>
    </row>
    <row r="770" ht="10.95" customHeight="true" customFormat="true" s="8">
      <c r="A770" s="15" t="s">
        <v>869</v>
      </c>
      <c r="B770" s="15"/>
      <c r="C770" s="15"/>
      <c r="D770" s="15"/>
      <c r="E770" s="15"/>
      <c r="F770" s="16">
        <f ca="1">F769</f>
        <v>0</v>
      </c>
      <c r="G770" s="16">
        <f ca="1">G769</f>
        <v>0</v>
      </c>
      <c r="H770" s="16">
        <f ca="1">H769</f>
        <v>0</v>
      </c>
      <c r="I770" s="16">
        <f ca="1">I769</f>
        <v>0</v>
      </c>
      <c r="J770" s="15"/>
    </row>
    <row r="771" ht="13.35" customHeight="true"/>
    <row r="772" ht="12.1" customHeight="true" customFormat="true" s="5">
      <c r="A772" s="17" t="s">
        <v>870</v>
      </c>
      <c r="B772" s="17"/>
      <c r="C772" s="17"/>
      <c r="D772" s="17"/>
      <c r="E772" s="17"/>
      <c r="F772" s="17"/>
      <c r="G772" s="17"/>
      <c r="H772" s="17"/>
      <c r="I772" s="17"/>
      <c r="J772" s="17"/>
    </row>
    <row r="773" ht="21.3" customHeight="true" customFormat="true" s="8">
      <c r="A773" s="9">
        <v>45896</v>
      </c>
      <c r="B773" s="10" t="s">
        <v>36</v>
      </c>
      <c r="C773" s="18" t="s">
        <v>871</v>
      </c>
      <c r="D773" s="10" t="s">
        <v>872</v>
      </c>
      <c r="E773" s="10" t="s">
        <v>16</v>
      </c>
      <c r="F773" s="11">
        <v>0</v>
      </c>
      <c r="G773" s="11">
        <v>12000.0000</v>
      </c>
      <c r="H773" s="11">
        <v>0</v>
      </c>
      <c r="I773" s="11">
        <v>12000.0000</v>
      </c>
      <c r="J773" s="10" t="s">
        <v>221</v>
      </c>
    </row>
    <row r="774" ht="10.95" customHeight="true" customFormat="true" s="8">
      <c r="A774" s="15" t="s">
        <v>873</v>
      </c>
      <c r="B774" s="15"/>
      <c r="C774" s="15"/>
      <c r="D774" s="15"/>
      <c r="E774" s="15"/>
      <c r="F774" s="16">
        <f ca="1">F773</f>
        <v>0</v>
      </c>
      <c r="G774" s="16">
        <f ca="1">G773</f>
        <v>0</v>
      </c>
      <c r="H774" s="16">
        <f ca="1">H773</f>
        <v>0</v>
      </c>
      <c r="I774" s="16">
        <f ca="1">I773</f>
        <v>0</v>
      </c>
      <c r="J774" s="15"/>
    </row>
    <row r="775" ht="13.35" customHeight="true"/>
    <row r="776" ht="12.1" customHeight="true" customFormat="true" s="5">
      <c r="A776" s="17" t="s">
        <v>874</v>
      </c>
      <c r="B776" s="17"/>
      <c r="C776" s="17"/>
      <c r="D776" s="17"/>
      <c r="E776" s="17"/>
      <c r="F776" s="17"/>
      <c r="G776" s="17"/>
      <c r="H776" s="17"/>
      <c r="I776" s="17"/>
      <c r="J776" s="17"/>
    </row>
    <row r="777" ht="10.95" customHeight="true" customFormat="true" s="8">
      <c r="A777" s="9">
        <v>45653</v>
      </c>
      <c r="B777" s="10" t="s">
        <v>36</v>
      </c>
      <c r="C777" s="10" t="s">
        <v>875</v>
      </c>
      <c r="D777" s="10" t="s">
        <v>876</v>
      </c>
      <c r="E777" s="10" t="s">
        <v>16</v>
      </c>
      <c r="F777" s="11">
        <v>0</v>
      </c>
      <c r="G777" s="11">
        <v>72165.5600</v>
      </c>
      <c r="H777" s="11">
        <v>0</v>
      </c>
      <c r="I777" s="11">
        <v>72165.5600</v>
      </c>
      <c r="J777" s="10" t="s">
        <v>17</v>
      </c>
    </row>
    <row r="778" ht="10.95" customHeight="true" customFormat="true" s="8">
      <c r="A778" s="12">
        <v>45653</v>
      </c>
      <c r="B778" s="13" t="s">
        <v>36</v>
      </c>
      <c r="C778" s="13" t="s">
        <v>877</v>
      </c>
      <c r="D778" s="13" t="s">
        <v>876</v>
      </c>
      <c r="E778" s="13" t="s">
        <v>16</v>
      </c>
      <c r="F778" s="14">
        <v>0</v>
      </c>
      <c r="G778" s="14">
        <v>4496.4600</v>
      </c>
      <c r="H778" s="14">
        <v>0</v>
      </c>
      <c r="I778" s="14">
        <v>4496.4600</v>
      </c>
      <c r="J778" s="13" t="s">
        <v>17</v>
      </c>
    </row>
    <row r="779" ht="10.95" customHeight="true" customFormat="true" s="8">
      <c r="A779" s="12">
        <v>45653</v>
      </c>
      <c r="B779" s="13" t="s">
        <v>36</v>
      </c>
      <c r="C779" s="13" t="s">
        <v>878</v>
      </c>
      <c r="D779" s="13" t="s">
        <v>876</v>
      </c>
      <c r="E779" s="13" t="s">
        <v>16</v>
      </c>
      <c r="F779" s="14">
        <v>0</v>
      </c>
      <c r="G779" s="14">
        <v>4762.9200</v>
      </c>
      <c r="H779" s="14">
        <v>0</v>
      </c>
      <c r="I779" s="14">
        <v>4762.9200</v>
      </c>
      <c r="J779" s="13" t="s">
        <v>17</v>
      </c>
    </row>
    <row r="780" ht="10.95" customHeight="true" customFormat="true" s="8">
      <c r="A780" s="12">
        <v>45653</v>
      </c>
      <c r="B780" s="13" t="s">
        <v>36</v>
      </c>
      <c r="C780" s="13" t="s">
        <v>879</v>
      </c>
      <c r="D780" s="13" t="s">
        <v>876</v>
      </c>
      <c r="E780" s="13" t="s">
        <v>16</v>
      </c>
      <c r="F780" s="14">
        <v>0</v>
      </c>
      <c r="G780" s="14">
        <v>9838.9500</v>
      </c>
      <c r="H780" s="14">
        <v>0</v>
      </c>
      <c r="I780" s="14">
        <v>9838.9500</v>
      </c>
      <c r="J780" s="13" t="s">
        <v>125</v>
      </c>
    </row>
    <row r="781" ht="10.95" customHeight="true" customFormat="true" s="8">
      <c r="A781" s="12">
        <v>45653</v>
      </c>
      <c r="B781" s="13" t="s">
        <v>36</v>
      </c>
      <c r="C781" s="13" t="s">
        <v>880</v>
      </c>
      <c r="D781" s="13" t="s">
        <v>876</v>
      </c>
      <c r="E781" s="13" t="s">
        <v>16</v>
      </c>
      <c r="F781" s="14">
        <v>0</v>
      </c>
      <c r="G781" s="14">
        <v>4867.1200</v>
      </c>
      <c r="H781" s="14">
        <v>0</v>
      </c>
      <c r="I781" s="14">
        <v>4867.1200</v>
      </c>
      <c r="J781" s="13" t="s">
        <v>18</v>
      </c>
    </row>
    <row r="782" ht="10.95" customHeight="true" customFormat="true" s="8">
      <c r="A782" s="12">
        <v>45653</v>
      </c>
      <c r="B782" s="13" t="s">
        <v>36</v>
      </c>
      <c r="C782" s="13" t="s">
        <v>881</v>
      </c>
      <c r="D782" s="13" t="s">
        <v>876</v>
      </c>
      <c r="E782" s="13" t="s">
        <v>16</v>
      </c>
      <c r="F782" s="14">
        <v>0</v>
      </c>
      <c r="G782" s="14">
        <v>2220.4800</v>
      </c>
      <c r="H782" s="14">
        <v>0</v>
      </c>
      <c r="I782" s="14">
        <v>2220.4800</v>
      </c>
      <c r="J782" s="13" t="s">
        <v>19</v>
      </c>
    </row>
    <row r="783" ht="10.95" customHeight="true" customFormat="true" s="8">
      <c r="A783" s="12">
        <v>45653</v>
      </c>
      <c r="B783" s="13" t="s">
        <v>36</v>
      </c>
      <c r="C783" s="13" t="s">
        <v>882</v>
      </c>
      <c r="D783" s="13" t="s">
        <v>876</v>
      </c>
      <c r="E783" s="13" t="s">
        <v>16</v>
      </c>
      <c r="F783" s="14">
        <v>0</v>
      </c>
      <c r="G783" s="14">
        <v>6868.7500</v>
      </c>
      <c r="H783" s="14">
        <v>0</v>
      </c>
      <c r="I783" s="14">
        <v>6868.7500</v>
      </c>
      <c r="J783" s="13" t="s">
        <v>20</v>
      </c>
    </row>
    <row r="784" ht="10.95" customHeight="true" customFormat="true" s="8">
      <c r="A784" s="12">
        <v>45797</v>
      </c>
      <c r="B784" s="13" t="s">
        <v>36</v>
      </c>
      <c r="C784" s="13" t="s">
        <v>883</v>
      </c>
      <c r="D784" s="13" t="s">
        <v>884</v>
      </c>
      <c r="E784" s="13" t="s">
        <v>16</v>
      </c>
      <c r="F784" s="14">
        <v>0</v>
      </c>
      <c r="G784" s="14">
        <v>2520.0000</v>
      </c>
      <c r="H784" s="14">
        <v>0</v>
      </c>
      <c r="I784" s="14">
        <v>2520.0000</v>
      </c>
      <c r="J784" s="13" t="s">
        <v>268</v>
      </c>
    </row>
    <row r="785" ht="10.95" customHeight="true" customFormat="true" s="8">
      <c r="A785" s="12">
        <v>45797</v>
      </c>
      <c r="B785" s="13" t="s">
        <v>36</v>
      </c>
      <c r="C785" s="13" t="s">
        <v>885</v>
      </c>
      <c r="D785" s="13" t="s">
        <v>884</v>
      </c>
      <c r="E785" s="13" t="s">
        <v>16</v>
      </c>
      <c r="F785" s="14">
        <v>0</v>
      </c>
      <c r="G785" s="14">
        <v>840.0000</v>
      </c>
      <c r="H785" s="14">
        <v>0</v>
      </c>
      <c r="I785" s="14">
        <v>840.0000</v>
      </c>
      <c r="J785" s="13" t="s">
        <v>268</v>
      </c>
    </row>
    <row r="786" ht="10.95" customHeight="true" customFormat="true" s="8">
      <c r="A786" s="12">
        <v>45797</v>
      </c>
      <c r="B786" s="13" t="s">
        <v>36</v>
      </c>
      <c r="C786" s="13" t="s">
        <v>886</v>
      </c>
      <c r="D786" s="13" t="s">
        <v>884</v>
      </c>
      <c r="E786" s="13" t="s">
        <v>16</v>
      </c>
      <c r="F786" s="14">
        <v>0</v>
      </c>
      <c r="G786" s="14">
        <v>1680.0000</v>
      </c>
      <c r="H786" s="14">
        <v>0</v>
      </c>
      <c r="I786" s="14">
        <v>1680.0000</v>
      </c>
      <c r="J786" s="13" t="s">
        <v>268</v>
      </c>
    </row>
    <row r="787" ht="10.95" customHeight="true" customFormat="true" s="8">
      <c r="A787" s="12">
        <v>45797</v>
      </c>
      <c r="B787" s="13" t="s">
        <v>36</v>
      </c>
      <c r="C787" s="13" t="s">
        <v>887</v>
      </c>
      <c r="D787" s="13" t="s">
        <v>884</v>
      </c>
      <c r="E787" s="13" t="s">
        <v>16</v>
      </c>
      <c r="F787" s="14">
        <v>0</v>
      </c>
      <c r="G787" s="14">
        <v>1800.0000</v>
      </c>
      <c r="H787" s="14">
        <v>0</v>
      </c>
      <c r="I787" s="14">
        <v>1800.0000</v>
      </c>
      <c r="J787" s="13" t="s">
        <v>268</v>
      </c>
    </row>
    <row r="788" ht="10.95" customHeight="true" customFormat="true" s="8">
      <c r="A788" s="12">
        <v>45797</v>
      </c>
      <c r="B788" s="13" t="s">
        <v>36</v>
      </c>
      <c r="C788" s="13" t="s">
        <v>888</v>
      </c>
      <c r="D788" s="13" t="s">
        <v>884</v>
      </c>
      <c r="E788" s="13" t="s">
        <v>16</v>
      </c>
      <c r="F788" s="14">
        <v>0</v>
      </c>
      <c r="G788" s="14">
        <v>1435.0000</v>
      </c>
      <c r="H788" s="14">
        <v>0</v>
      </c>
      <c r="I788" s="14">
        <v>1435.0000</v>
      </c>
      <c r="J788" s="13" t="s">
        <v>391</v>
      </c>
    </row>
    <row r="789" ht="10.95" customHeight="true" customFormat="true" s="8">
      <c r="A789" s="12">
        <v>45797</v>
      </c>
      <c r="B789" s="13" t="s">
        <v>36</v>
      </c>
      <c r="C789" s="13" t="s">
        <v>889</v>
      </c>
      <c r="D789" s="13" t="s">
        <v>884</v>
      </c>
      <c r="E789" s="13" t="s">
        <v>16</v>
      </c>
      <c r="F789" s="14">
        <v>0</v>
      </c>
      <c r="G789" s="14">
        <v>360.0000</v>
      </c>
      <c r="H789" s="14">
        <v>0</v>
      </c>
      <c r="I789" s="14">
        <v>360.0000</v>
      </c>
      <c r="J789" s="13" t="s">
        <v>268</v>
      </c>
    </row>
    <row r="790" ht="10.95" customHeight="true" customFormat="true" s="8">
      <c r="A790" s="15" t="s">
        <v>890</v>
      </c>
      <c r="B790" s="15"/>
      <c r="C790" s="15"/>
      <c r="D790" s="15"/>
      <c r="E790" s="15"/>
      <c r="F790" s="16">
        <f ca="1">SUM(F777:F789)</f>
        <v>0</v>
      </c>
      <c r="G790" s="16">
        <f ca="1">SUM(G777:G789)</f>
        <v>0</v>
      </c>
      <c r="H790" s="16">
        <f ca="1">SUM(H777:H789)</f>
        <v>0</v>
      </c>
      <c r="I790" s="16">
        <f ca="1">SUM(I777:I789)</f>
        <v>0</v>
      </c>
      <c r="J790" s="15"/>
    </row>
    <row r="791" ht="13.35" customHeight="true"/>
    <row r="792" ht="12.1" customHeight="true" customFormat="true" s="5">
      <c r="A792" s="17" t="s">
        <v>891</v>
      </c>
      <c r="B792" s="17"/>
      <c r="C792" s="17"/>
      <c r="D792" s="17"/>
      <c r="E792" s="17"/>
      <c r="F792" s="17"/>
      <c r="G792" s="17"/>
      <c r="H792" s="17"/>
      <c r="I792" s="17"/>
      <c r="J792" s="17"/>
    </row>
    <row r="793" ht="10.95" customHeight="true" customFormat="true" s="8">
      <c r="A793" s="9">
        <v>46125</v>
      </c>
      <c r="B793" s="10" t="s">
        <v>36</v>
      </c>
      <c r="C793" s="10" t="s">
        <v>892</v>
      </c>
      <c r="D793" s="10" t="s">
        <v>893</v>
      </c>
      <c r="E793" s="10" t="s">
        <v>16</v>
      </c>
      <c r="F793" s="11">
        <v>0</v>
      </c>
      <c r="G793" s="11">
        <v>537.2900</v>
      </c>
      <c r="H793" s="11">
        <v>0</v>
      </c>
      <c r="I793" s="11">
        <v>537.2900</v>
      </c>
      <c r="J793" s="10" t="s">
        <v>46</v>
      </c>
    </row>
    <row r="794" ht="10.95" customHeight="true" customFormat="true" s="8">
      <c r="A794" s="12">
        <v>46125</v>
      </c>
      <c r="B794" s="13" t="s">
        <v>36</v>
      </c>
      <c r="C794" s="13" t="s">
        <v>894</v>
      </c>
      <c r="D794" s="13" t="s">
        <v>893</v>
      </c>
      <c r="E794" s="13" t="s">
        <v>16</v>
      </c>
      <c r="F794" s="14">
        <v>0</v>
      </c>
      <c r="G794" s="14">
        <v>765.0000</v>
      </c>
      <c r="H794" s="14">
        <v>0</v>
      </c>
      <c r="I794" s="14">
        <v>765.0000</v>
      </c>
      <c r="J794" s="13" t="s">
        <v>46</v>
      </c>
    </row>
    <row r="795" ht="10.95" customHeight="true" customFormat="true" s="8">
      <c r="A795" s="12">
        <v>46125</v>
      </c>
      <c r="B795" s="13" t="s">
        <v>36</v>
      </c>
      <c r="C795" s="13" t="s">
        <v>895</v>
      </c>
      <c r="D795" s="13" t="s">
        <v>893</v>
      </c>
      <c r="E795" s="13" t="s">
        <v>16</v>
      </c>
      <c r="F795" s="14">
        <v>0</v>
      </c>
      <c r="G795" s="14">
        <v>168.0000</v>
      </c>
      <c r="H795" s="14">
        <v>0</v>
      </c>
      <c r="I795" s="14">
        <v>168.0000</v>
      </c>
      <c r="J795" s="13" t="s">
        <v>46</v>
      </c>
    </row>
    <row r="796" ht="10.95" customHeight="true" customFormat="true" s="8">
      <c r="A796" s="15" t="s">
        <v>896</v>
      </c>
      <c r="B796" s="15"/>
      <c r="C796" s="15"/>
      <c r="D796" s="15"/>
      <c r="E796" s="15"/>
      <c r="F796" s="16">
        <f ca="1">SUM(F793:F795)</f>
        <v>0</v>
      </c>
      <c r="G796" s="16">
        <f ca="1">SUM(G793:G795)</f>
        <v>0</v>
      </c>
      <c r="H796" s="16">
        <f ca="1">SUM(H793:H795)</f>
        <v>0</v>
      </c>
      <c r="I796" s="16">
        <f ca="1">SUM(I793:I795)</f>
        <v>0</v>
      </c>
      <c r="J796" s="15"/>
    </row>
    <row r="797" ht="13.35" customHeight="true"/>
    <row r="798" ht="12.1" customHeight="true" customFormat="true" s="5">
      <c r="A798" s="17" t="s">
        <v>897</v>
      </c>
      <c r="B798" s="17"/>
      <c r="C798" s="17"/>
      <c r="D798" s="17"/>
      <c r="E798" s="17"/>
      <c r="F798" s="17"/>
      <c r="G798" s="17"/>
      <c r="H798" s="17"/>
      <c r="I798" s="17"/>
      <c r="J798" s="17"/>
    </row>
    <row r="799" ht="10.95" customHeight="true" customFormat="true" s="8">
      <c r="A799" s="9">
        <v>46071</v>
      </c>
      <c r="B799" s="10" t="s">
        <v>36</v>
      </c>
      <c r="C799" s="10" t="s">
        <v>898</v>
      </c>
      <c r="D799" s="10" t="s">
        <v>899</v>
      </c>
      <c r="E799" s="10" t="s">
        <v>16</v>
      </c>
      <c r="F799" s="11">
        <v>0</v>
      </c>
      <c r="G799" s="11">
        <v>558.4500</v>
      </c>
      <c r="H799" s="11">
        <v>0</v>
      </c>
      <c r="I799" s="11">
        <v>558.4500</v>
      </c>
      <c r="J799" s="10" t="s">
        <v>46</v>
      </c>
    </row>
    <row r="800" ht="10.95" customHeight="true" customFormat="true" s="8">
      <c r="A800" s="12">
        <v>46071</v>
      </c>
      <c r="B800" s="13" t="s">
        <v>36</v>
      </c>
      <c r="C800" s="13" t="s">
        <v>900</v>
      </c>
      <c r="D800" s="13" t="s">
        <v>899</v>
      </c>
      <c r="E800" s="13" t="s">
        <v>16</v>
      </c>
      <c r="F800" s="14">
        <v>0</v>
      </c>
      <c r="G800" s="14">
        <v>1496.0000</v>
      </c>
      <c r="H800" s="14">
        <v>0</v>
      </c>
      <c r="I800" s="14">
        <v>1496.0000</v>
      </c>
      <c r="J800" s="13" t="s">
        <v>46</v>
      </c>
    </row>
    <row r="801" ht="10.95" customHeight="true" customFormat="true" s="8">
      <c r="A801" s="15" t="s">
        <v>901</v>
      </c>
      <c r="B801" s="15"/>
      <c r="C801" s="15"/>
      <c r="D801" s="15"/>
      <c r="E801" s="15"/>
      <c r="F801" s="16">
        <f ca="1">SUM(F799:F800)</f>
        <v>0</v>
      </c>
      <c r="G801" s="16">
        <f ca="1">SUM(G799:G800)</f>
        <v>0</v>
      </c>
      <c r="H801" s="16">
        <f ca="1">SUM(H799:H800)</f>
        <v>0</v>
      </c>
      <c r="I801" s="16">
        <f ca="1">SUM(I799:I800)</f>
        <v>0</v>
      </c>
      <c r="J801" s="15"/>
    </row>
    <row r="802" ht="13.35" customHeight="true"/>
    <row r="803" ht="12.1" customHeight="true" customFormat="true" s="5">
      <c r="A803" s="17" t="s">
        <v>902</v>
      </c>
      <c r="B803" s="17"/>
      <c r="C803" s="17"/>
      <c r="D803" s="17"/>
      <c r="E803" s="17"/>
      <c r="F803" s="17"/>
      <c r="G803" s="17"/>
      <c r="H803" s="17"/>
      <c r="I803" s="17"/>
      <c r="J803" s="17"/>
    </row>
    <row r="804" ht="10.95" customHeight="true" customFormat="true" s="8">
      <c r="A804" s="9">
        <v>46034</v>
      </c>
      <c r="B804" s="10" t="s">
        <v>36</v>
      </c>
      <c r="C804" s="10" t="s">
        <v>903</v>
      </c>
      <c r="D804" s="10" t="s">
        <v>904</v>
      </c>
      <c r="E804" s="10" t="s">
        <v>16</v>
      </c>
      <c r="F804" s="11">
        <v>0</v>
      </c>
      <c r="G804" s="11">
        <v>1827.0000</v>
      </c>
      <c r="H804" s="11">
        <v>0</v>
      </c>
      <c r="I804" s="11">
        <v>1827.0000</v>
      </c>
      <c r="J804" s="10" t="s">
        <v>46</v>
      </c>
    </row>
    <row r="805" ht="10.95" customHeight="true" customFormat="true" s="8">
      <c r="A805" s="12">
        <v>46161</v>
      </c>
      <c r="B805" s="13" t="s">
        <v>36</v>
      </c>
      <c r="C805" s="13" t="s">
        <v>905</v>
      </c>
      <c r="D805" s="13" t="s">
        <v>906</v>
      </c>
      <c r="E805" s="13" t="s">
        <v>16</v>
      </c>
      <c r="F805" s="14">
        <v>0</v>
      </c>
      <c r="G805" s="14">
        <v>240.0000</v>
      </c>
      <c r="H805" s="14">
        <v>0</v>
      </c>
      <c r="I805" s="14">
        <v>240.0000</v>
      </c>
      <c r="J805" s="13" t="s">
        <v>46</v>
      </c>
    </row>
    <row r="806" ht="10.95" customHeight="true" customFormat="true" s="8">
      <c r="A806" s="15" t="s">
        <v>907</v>
      </c>
      <c r="B806" s="15"/>
      <c r="C806" s="15"/>
      <c r="D806" s="15"/>
      <c r="E806" s="15"/>
      <c r="F806" s="16">
        <f ca="1">SUM(F804:F805)</f>
        <v>0</v>
      </c>
      <c r="G806" s="16">
        <f ca="1">SUM(G804:G805)</f>
        <v>0</v>
      </c>
      <c r="H806" s="16">
        <f ca="1">SUM(H804:H805)</f>
        <v>0</v>
      </c>
      <c r="I806" s="16">
        <f ca="1">SUM(I804:I805)</f>
        <v>0</v>
      </c>
      <c r="J806" s="15"/>
    </row>
    <row r="807" ht="13.35" customHeight="true"/>
    <row r="808" ht="12.1" customHeight="true" customFormat="true" s="5">
      <c r="A808" s="17" t="s">
        <v>908</v>
      </c>
      <c r="B808" s="17"/>
      <c r="C808" s="17"/>
      <c r="D808" s="17"/>
      <c r="E808" s="17"/>
      <c r="F808" s="17"/>
      <c r="G808" s="17"/>
      <c r="H808" s="17"/>
      <c r="I808" s="17"/>
      <c r="J808" s="17"/>
    </row>
    <row r="809" ht="10.95" customHeight="true" customFormat="true" s="8">
      <c r="A809" s="9">
        <v>45376</v>
      </c>
      <c r="B809" s="10" t="s">
        <v>36</v>
      </c>
      <c r="C809" s="10" t="s">
        <v>909</v>
      </c>
      <c r="D809" s="10" t="s">
        <v>910</v>
      </c>
      <c r="E809" s="10" t="s">
        <v>16</v>
      </c>
      <c r="F809" s="11">
        <v>0</v>
      </c>
      <c r="G809" s="11">
        <v>1730.4000</v>
      </c>
      <c r="H809" s="11">
        <v>0</v>
      </c>
      <c r="I809" s="11">
        <v>1730.4000</v>
      </c>
      <c r="J809" s="10" t="s">
        <v>20</v>
      </c>
    </row>
    <row r="810" ht="10.95" customHeight="true" customFormat="true" s="8">
      <c r="A810" s="15" t="s">
        <v>911</v>
      </c>
      <c r="B810" s="15"/>
      <c r="C810" s="15"/>
      <c r="D810" s="15"/>
      <c r="E810" s="15"/>
      <c r="F810" s="16">
        <f ca="1">F809</f>
        <v>0</v>
      </c>
      <c r="G810" s="16">
        <f ca="1">G809</f>
        <v>0</v>
      </c>
      <c r="H810" s="16">
        <f ca="1">H809</f>
        <v>0</v>
      </c>
      <c r="I810" s="16">
        <f ca="1">I809</f>
        <v>0</v>
      </c>
      <c r="J810" s="15"/>
    </row>
    <row r="811" ht="13.35" customHeight="true"/>
    <row r="812" ht="12.1" customHeight="true" customFormat="true" s="5">
      <c r="A812" s="17" t="s">
        <v>912</v>
      </c>
      <c r="B812" s="17"/>
      <c r="C812" s="17"/>
      <c r="D812" s="17"/>
      <c r="E812" s="17"/>
      <c r="F812" s="17"/>
      <c r="G812" s="17"/>
      <c r="H812" s="17"/>
      <c r="I812" s="17"/>
      <c r="J812" s="17"/>
    </row>
    <row r="813" ht="10.95" customHeight="true" customFormat="true" s="8">
      <c r="A813" s="9">
        <v>45302</v>
      </c>
      <c r="B813" s="10" t="s">
        <v>36</v>
      </c>
      <c r="C813" s="10" t="s">
        <v>913</v>
      </c>
      <c r="D813" s="10" t="s">
        <v>914</v>
      </c>
      <c r="E813" s="10" t="s">
        <v>16</v>
      </c>
      <c r="F813" s="11">
        <v>0</v>
      </c>
      <c r="G813" s="11">
        <v>2118.6000</v>
      </c>
      <c r="H813" s="11">
        <v>0</v>
      </c>
      <c r="I813" s="11">
        <v>2118.6000</v>
      </c>
      <c r="J813" s="10" t="s">
        <v>18</v>
      </c>
    </row>
    <row r="814" ht="10.95" customHeight="true" customFormat="true" s="8">
      <c r="A814" s="15" t="s">
        <v>915</v>
      </c>
      <c r="B814" s="15"/>
      <c r="C814" s="15"/>
      <c r="D814" s="15"/>
      <c r="E814" s="15"/>
      <c r="F814" s="16">
        <f ca="1">F813</f>
        <v>0</v>
      </c>
      <c r="G814" s="16">
        <f ca="1">G813</f>
        <v>0</v>
      </c>
      <c r="H814" s="16">
        <f ca="1">H813</f>
        <v>0</v>
      </c>
      <c r="I814" s="16">
        <f ca="1">I813</f>
        <v>0</v>
      </c>
      <c r="J814" s="15"/>
    </row>
    <row r="815" ht="13.35" customHeight="true"/>
    <row r="816" ht="12.1" customHeight="true" customFormat="true" s="5">
      <c r="A816" s="17" t="s">
        <v>916</v>
      </c>
      <c r="B816" s="17"/>
      <c r="C816" s="17"/>
      <c r="D816" s="17"/>
      <c r="E816" s="17"/>
      <c r="F816" s="17"/>
      <c r="G816" s="17"/>
      <c r="H816" s="17"/>
      <c r="I816" s="17"/>
      <c r="J816" s="17"/>
    </row>
    <row r="817" ht="10.95" customHeight="true" customFormat="true" s="8">
      <c r="A817" s="9">
        <v>45866</v>
      </c>
      <c r="B817" s="10" t="s">
        <v>36</v>
      </c>
      <c r="C817" s="10" t="s">
        <v>917</v>
      </c>
      <c r="D817" s="10" t="s">
        <v>918</v>
      </c>
      <c r="E817" s="10" t="s">
        <v>16</v>
      </c>
      <c r="F817" s="11">
        <v>0</v>
      </c>
      <c r="G817" s="11">
        <v>9000.0000</v>
      </c>
      <c r="H817" s="11">
        <v>0</v>
      </c>
      <c r="I817" s="11">
        <v>9000.0000</v>
      </c>
      <c r="J817" s="10" t="s">
        <v>46</v>
      </c>
    </row>
    <row r="818" ht="10.95" customHeight="true" customFormat="true" s="8">
      <c r="A818" s="15" t="s">
        <v>919</v>
      </c>
      <c r="B818" s="15"/>
      <c r="C818" s="15"/>
      <c r="D818" s="15"/>
      <c r="E818" s="15"/>
      <c r="F818" s="16">
        <f ca="1">F817</f>
        <v>0</v>
      </c>
      <c r="G818" s="16">
        <f ca="1">G817</f>
        <v>0</v>
      </c>
      <c r="H818" s="16">
        <f ca="1">H817</f>
        <v>0</v>
      </c>
      <c r="I818" s="16">
        <f ca="1">I817</f>
        <v>0</v>
      </c>
      <c r="J818" s="15"/>
    </row>
    <row r="819" ht="13.35" customHeight="true"/>
    <row r="820" ht="12.1" customHeight="true" customFormat="true" s="5">
      <c r="A820" s="17" t="s">
        <v>920</v>
      </c>
      <c r="B820" s="17"/>
      <c r="C820" s="17"/>
      <c r="D820" s="17"/>
      <c r="E820" s="17"/>
      <c r="F820" s="17"/>
      <c r="G820" s="17"/>
      <c r="H820" s="17"/>
      <c r="I820" s="17"/>
      <c r="J820" s="17"/>
    </row>
    <row r="821" ht="10.95" customHeight="true" customFormat="true" s="8">
      <c r="A821" s="9">
        <v>45929</v>
      </c>
      <c r="B821" s="10" t="s">
        <v>36</v>
      </c>
      <c r="C821" s="10" t="s">
        <v>921</v>
      </c>
      <c r="D821" s="10" t="s">
        <v>922</v>
      </c>
      <c r="E821" s="10" t="s">
        <v>16</v>
      </c>
      <c r="F821" s="11">
        <v>0</v>
      </c>
      <c r="G821" s="11">
        <v>2462.9300</v>
      </c>
      <c r="H821" s="11">
        <v>0</v>
      </c>
      <c r="I821" s="11">
        <v>2462.9300</v>
      </c>
      <c r="J821" s="10" t="s">
        <v>46</v>
      </c>
    </row>
    <row r="822" ht="10.95" customHeight="true" customFormat="true" s="8">
      <c r="A822" s="15" t="s">
        <v>923</v>
      </c>
      <c r="B822" s="15"/>
      <c r="C822" s="15"/>
      <c r="D822" s="15"/>
      <c r="E822" s="15"/>
      <c r="F822" s="16">
        <f ca="1">F821</f>
        <v>0</v>
      </c>
      <c r="G822" s="16">
        <f ca="1">G821</f>
        <v>0</v>
      </c>
      <c r="H822" s="16">
        <f ca="1">H821</f>
        <v>0</v>
      </c>
      <c r="I822" s="16">
        <f ca="1">I821</f>
        <v>0</v>
      </c>
      <c r="J822" s="15"/>
    </row>
    <row r="823" ht="13.35" customHeight="true"/>
    <row r="824" ht="12.1" customHeight="true" customFormat="true" s="5">
      <c r="A824" s="17" t="s">
        <v>924</v>
      </c>
      <c r="B824" s="17"/>
      <c r="C824" s="17"/>
      <c r="D824" s="17"/>
      <c r="E824" s="17"/>
      <c r="F824" s="17"/>
      <c r="G824" s="17"/>
      <c r="H824" s="17"/>
      <c r="I824" s="17"/>
      <c r="J824" s="17"/>
    </row>
    <row r="825" ht="10.95" customHeight="true" customFormat="true" s="8">
      <c r="A825" s="9">
        <v>45398</v>
      </c>
      <c r="B825" s="10" t="s">
        <v>36</v>
      </c>
      <c r="C825" s="10" t="s">
        <v>925</v>
      </c>
      <c r="D825" s="10" t="s">
        <v>926</v>
      </c>
      <c r="E825" s="10" t="s">
        <v>16</v>
      </c>
      <c r="F825" s="11">
        <v>0</v>
      </c>
      <c r="G825" s="11">
        <v>2943.0000</v>
      </c>
      <c r="H825" s="11">
        <v>0</v>
      </c>
      <c r="I825" s="11">
        <v>2943.0000</v>
      </c>
      <c r="J825" s="10" t="s">
        <v>18</v>
      </c>
    </row>
    <row r="826" ht="10.95" customHeight="true" customFormat="true" s="8">
      <c r="A826" s="15" t="s">
        <v>927</v>
      </c>
      <c r="B826" s="15"/>
      <c r="C826" s="15"/>
      <c r="D826" s="15"/>
      <c r="E826" s="15"/>
      <c r="F826" s="16">
        <f ca="1">F825</f>
        <v>0</v>
      </c>
      <c r="G826" s="16">
        <f ca="1">G825</f>
        <v>0</v>
      </c>
      <c r="H826" s="16">
        <f ca="1">H825</f>
        <v>0</v>
      </c>
      <c r="I826" s="16">
        <f ca="1">I825</f>
        <v>0</v>
      </c>
      <c r="J826" s="15"/>
    </row>
    <row r="827" ht="13.35" customHeight="true"/>
    <row r="828" ht="12.1" customHeight="true" customFormat="true" s="5">
      <c r="A828" s="17" t="s">
        <v>928</v>
      </c>
      <c r="B828" s="17"/>
      <c r="C828" s="17"/>
      <c r="D828" s="17"/>
      <c r="E828" s="17"/>
      <c r="F828" s="17"/>
      <c r="G828" s="17"/>
      <c r="H828" s="17"/>
      <c r="I828" s="17"/>
      <c r="J828" s="17"/>
    </row>
    <row r="829" ht="10.95" customHeight="true" customFormat="true" s="8">
      <c r="A829" s="9">
        <v>45582</v>
      </c>
      <c r="B829" s="10" t="s">
        <v>36</v>
      </c>
      <c r="C829" s="10" t="s">
        <v>929</v>
      </c>
      <c r="D829" s="10" t="s">
        <v>930</v>
      </c>
      <c r="E829" s="10" t="s">
        <v>16</v>
      </c>
      <c r="F829" s="11">
        <v>0</v>
      </c>
      <c r="G829" s="11">
        <v>529.8000</v>
      </c>
      <c r="H829" s="11">
        <v>0</v>
      </c>
      <c r="I829" s="11">
        <v>529.8000</v>
      </c>
      <c r="J829" s="10" t="s">
        <v>46</v>
      </c>
    </row>
    <row r="830" ht="10.95" customHeight="true" customFormat="true" s="8">
      <c r="A830" s="12">
        <v>46140</v>
      </c>
      <c r="B830" s="13" t="s">
        <v>36</v>
      </c>
      <c r="C830" s="13" t="s">
        <v>931</v>
      </c>
      <c r="D830" s="13" t="s">
        <v>932</v>
      </c>
      <c r="E830" s="13" t="s">
        <v>16</v>
      </c>
      <c r="F830" s="14">
        <v>0</v>
      </c>
      <c r="G830" s="14">
        <v>3300.0000</v>
      </c>
      <c r="H830" s="14">
        <v>0</v>
      </c>
      <c r="I830" s="14">
        <v>3300.0000</v>
      </c>
      <c r="J830" s="13" t="s">
        <v>46</v>
      </c>
    </row>
    <row r="831" ht="10.95" customHeight="true" customFormat="true" s="8">
      <c r="A831" s="15" t="s">
        <v>933</v>
      </c>
      <c r="B831" s="15"/>
      <c r="C831" s="15"/>
      <c r="D831" s="15"/>
      <c r="E831" s="15"/>
      <c r="F831" s="16">
        <f ca="1">SUM(F829:F830)</f>
        <v>0</v>
      </c>
      <c r="G831" s="16">
        <f ca="1">SUM(G829:G830)</f>
        <v>0</v>
      </c>
      <c r="H831" s="16">
        <f ca="1">SUM(H829:H830)</f>
        <v>0</v>
      </c>
      <c r="I831" s="16">
        <f ca="1">SUM(I829:I830)</f>
        <v>0</v>
      </c>
      <c r="J831" s="15"/>
    </row>
    <row r="832" ht="13.35" customHeight="true"/>
    <row r="833" ht="12.1" customHeight="true" customFormat="true" s="5">
      <c r="A833" s="17" t="s">
        <v>934</v>
      </c>
      <c r="B833" s="17"/>
      <c r="C833" s="17"/>
      <c r="D833" s="17"/>
      <c r="E833" s="17"/>
      <c r="F833" s="17"/>
      <c r="G833" s="17"/>
      <c r="H833" s="17"/>
      <c r="I833" s="17"/>
      <c r="J833" s="17"/>
    </row>
    <row r="834" ht="10.95" customHeight="true" customFormat="true" s="8">
      <c r="A834" s="9">
        <v>45313</v>
      </c>
      <c r="B834" s="10" t="s">
        <v>36</v>
      </c>
      <c r="C834" s="10" t="s">
        <v>935</v>
      </c>
      <c r="D834" s="10" t="s">
        <v>936</v>
      </c>
      <c r="E834" s="10" t="s">
        <v>16</v>
      </c>
      <c r="F834" s="11">
        <v>0</v>
      </c>
      <c r="G834" s="11">
        <v>2118.6000</v>
      </c>
      <c r="H834" s="11">
        <v>0</v>
      </c>
      <c r="I834" s="11">
        <v>2118.6000</v>
      </c>
      <c r="J834" s="10" t="s">
        <v>18</v>
      </c>
    </row>
    <row r="835" ht="10.95" customHeight="true" customFormat="true" s="8">
      <c r="A835" s="12">
        <v>45365</v>
      </c>
      <c r="B835" s="13" t="s">
        <v>36</v>
      </c>
      <c r="C835" s="13" t="s">
        <v>937</v>
      </c>
      <c r="D835" s="13" t="s">
        <v>938</v>
      </c>
      <c r="E835" s="13" t="s">
        <v>16</v>
      </c>
      <c r="F835" s="14">
        <v>0</v>
      </c>
      <c r="G835" s="14">
        <v>839.7500</v>
      </c>
      <c r="H835" s="14">
        <v>0</v>
      </c>
      <c r="I835" s="14">
        <v>839.7500</v>
      </c>
      <c r="J835" s="13" t="s">
        <v>17</v>
      </c>
    </row>
    <row r="836" ht="10.95" customHeight="true" customFormat="true" s="8">
      <c r="A836" s="12">
        <v>45365</v>
      </c>
      <c r="B836" s="13" t="s">
        <v>36</v>
      </c>
      <c r="C836" s="13" t="s">
        <v>939</v>
      </c>
      <c r="D836" s="13" t="s">
        <v>938</v>
      </c>
      <c r="E836" s="13" t="s">
        <v>16</v>
      </c>
      <c r="F836" s="14">
        <v>0</v>
      </c>
      <c r="G836" s="14">
        <v>50.0000</v>
      </c>
      <c r="H836" s="14">
        <v>0</v>
      </c>
      <c r="I836" s="14">
        <v>50.0000</v>
      </c>
      <c r="J836" s="13" t="s">
        <v>17</v>
      </c>
    </row>
    <row r="837" ht="10.95" customHeight="true" customFormat="true" s="8">
      <c r="A837" s="15" t="s">
        <v>940</v>
      </c>
      <c r="B837" s="15"/>
      <c r="C837" s="15"/>
      <c r="D837" s="15"/>
      <c r="E837" s="15"/>
      <c r="F837" s="16">
        <f ca="1">SUM(F834:F836)</f>
        <v>0</v>
      </c>
      <c r="G837" s="16">
        <f ca="1">SUM(G834:G836)</f>
        <v>0</v>
      </c>
      <c r="H837" s="16">
        <f ca="1">SUM(H834:H836)</f>
        <v>0</v>
      </c>
      <c r="I837" s="16">
        <f ca="1">SUM(I834:I836)</f>
        <v>0</v>
      </c>
      <c r="J837" s="15"/>
    </row>
    <row r="838" ht="13.35" customHeight="true"/>
    <row r="839" ht="12.1" customHeight="true" customFormat="true" s="5">
      <c r="A839" s="17" t="s">
        <v>941</v>
      </c>
      <c r="B839" s="17"/>
      <c r="C839" s="17"/>
      <c r="D839" s="17"/>
      <c r="E839" s="17"/>
      <c r="F839" s="17"/>
      <c r="G839" s="17"/>
      <c r="H839" s="17"/>
      <c r="I839" s="17"/>
      <c r="J839" s="17"/>
    </row>
    <row r="840" ht="10.95" customHeight="true" customFormat="true" s="8">
      <c r="A840" s="9">
        <v>45792</v>
      </c>
      <c r="B840" s="10" t="s">
        <v>36</v>
      </c>
      <c r="C840" s="10" t="s">
        <v>942</v>
      </c>
      <c r="D840" s="10" t="s">
        <v>943</v>
      </c>
      <c r="E840" s="10" t="s">
        <v>16</v>
      </c>
      <c r="F840" s="11">
        <v>0</v>
      </c>
      <c r="G840" s="11">
        <v>1755.0000</v>
      </c>
      <c r="H840" s="11">
        <v>0</v>
      </c>
      <c r="I840" s="11">
        <v>1755.0000</v>
      </c>
      <c r="J840" s="10" t="s">
        <v>46</v>
      </c>
    </row>
    <row r="841" ht="10.95" customHeight="true" customFormat="true" s="8">
      <c r="A841" s="12">
        <v>45847</v>
      </c>
      <c r="B841" s="13" t="s">
        <v>36</v>
      </c>
      <c r="C841" s="13" t="s">
        <v>942</v>
      </c>
      <c r="D841" s="13" t="s">
        <v>944</v>
      </c>
      <c r="E841" s="13" t="s">
        <v>16</v>
      </c>
      <c r="F841" s="14">
        <v>0</v>
      </c>
      <c r="G841" s="14">
        <v>702.0000</v>
      </c>
      <c r="H841" s="14">
        <v>0</v>
      </c>
      <c r="I841" s="14">
        <v>702.0000</v>
      </c>
      <c r="J841" s="13" t="s">
        <v>46</v>
      </c>
    </row>
    <row r="842" ht="10.95" customHeight="true" customFormat="true" s="8">
      <c r="A842" s="12">
        <v>45847</v>
      </c>
      <c r="B842" s="13" t="s">
        <v>36</v>
      </c>
      <c r="C842" s="13" t="s">
        <v>945</v>
      </c>
      <c r="D842" s="13" t="s">
        <v>944</v>
      </c>
      <c r="E842" s="13" t="s">
        <v>16</v>
      </c>
      <c r="F842" s="14">
        <v>0</v>
      </c>
      <c r="G842" s="14">
        <v>1404.0000</v>
      </c>
      <c r="H842" s="14">
        <v>0</v>
      </c>
      <c r="I842" s="14">
        <v>1404.0000</v>
      </c>
      <c r="J842" s="13" t="s">
        <v>46</v>
      </c>
    </row>
    <row r="843" ht="10.95" customHeight="true" customFormat="true" s="8">
      <c r="A843" s="12">
        <v>45854</v>
      </c>
      <c r="B843" s="13" t="s">
        <v>36</v>
      </c>
      <c r="C843" s="13" t="s">
        <v>942</v>
      </c>
      <c r="D843" s="13" t="s">
        <v>946</v>
      </c>
      <c r="E843" s="13" t="s">
        <v>16</v>
      </c>
      <c r="F843" s="14">
        <v>0</v>
      </c>
      <c r="G843" s="14">
        <v>351.0000</v>
      </c>
      <c r="H843" s="14">
        <v>0</v>
      </c>
      <c r="I843" s="14">
        <v>351.0000</v>
      </c>
      <c r="J843" s="13" t="s">
        <v>46</v>
      </c>
    </row>
    <row r="844" ht="10.95" customHeight="true" customFormat="true" s="8">
      <c r="A844" s="12">
        <v>45897</v>
      </c>
      <c r="B844" s="13" t="s">
        <v>36</v>
      </c>
      <c r="C844" s="13" t="s">
        <v>945</v>
      </c>
      <c r="D844" s="13" t="s">
        <v>947</v>
      </c>
      <c r="E844" s="13" t="s">
        <v>16</v>
      </c>
      <c r="F844" s="14">
        <v>0</v>
      </c>
      <c r="G844" s="14">
        <v>351.0000</v>
      </c>
      <c r="H844" s="14">
        <v>0</v>
      </c>
      <c r="I844" s="14">
        <v>351.0000</v>
      </c>
      <c r="J844" s="13" t="s">
        <v>46</v>
      </c>
    </row>
    <row r="845" ht="10.95" customHeight="true" customFormat="true" s="8">
      <c r="A845" s="12">
        <v>45897</v>
      </c>
      <c r="B845" s="13" t="s">
        <v>36</v>
      </c>
      <c r="C845" s="13" t="s">
        <v>942</v>
      </c>
      <c r="D845" s="13" t="s">
        <v>947</v>
      </c>
      <c r="E845" s="13" t="s">
        <v>16</v>
      </c>
      <c r="F845" s="14">
        <v>0</v>
      </c>
      <c r="G845" s="14">
        <v>351.0000</v>
      </c>
      <c r="H845" s="14">
        <v>0</v>
      </c>
      <c r="I845" s="14">
        <v>351.0000</v>
      </c>
      <c r="J845" s="13" t="s">
        <v>46</v>
      </c>
    </row>
    <row r="846" ht="10.95" customHeight="true" customFormat="true" s="8">
      <c r="A846" s="15" t="s">
        <v>948</v>
      </c>
      <c r="B846" s="15"/>
      <c r="C846" s="15"/>
      <c r="D846" s="15"/>
      <c r="E846" s="15"/>
      <c r="F846" s="16">
        <f ca="1">SUM(F840:F845)</f>
        <v>0</v>
      </c>
      <c r="G846" s="16">
        <f ca="1">SUM(G840:G845)</f>
        <v>0</v>
      </c>
      <c r="H846" s="16">
        <f ca="1">SUM(H840:H845)</f>
        <v>0</v>
      </c>
      <c r="I846" s="16">
        <f ca="1">SUM(I840:I845)</f>
        <v>0</v>
      </c>
      <c r="J846" s="15"/>
    </row>
    <row r="847" ht="13.35" customHeight="true"/>
    <row r="848" ht="12.1" customHeight="true" customFormat="true" s="5">
      <c r="A848" s="17" t="s">
        <v>949</v>
      </c>
      <c r="B848" s="17"/>
      <c r="C848" s="17"/>
      <c r="D848" s="17"/>
      <c r="E848" s="17"/>
      <c r="F848" s="17"/>
      <c r="G848" s="17"/>
      <c r="H848" s="17"/>
      <c r="I848" s="17"/>
      <c r="J848" s="17"/>
    </row>
    <row r="849" ht="10.95" customHeight="true" customFormat="true" s="8">
      <c r="A849" s="9">
        <v>45371</v>
      </c>
      <c r="B849" s="10" t="s">
        <v>36</v>
      </c>
      <c r="C849" s="10" t="s">
        <v>950</v>
      </c>
      <c r="D849" s="10" t="s">
        <v>951</v>
      </c>
      <c r="E849" s="10" t="s">
        <v>16</v>
      </c>
      <c r="F849" s="11">
        <v>0</v>
      </c>
      <c r="G849" s="11">
        <v>3705.0000</v>
      </c>
      <c r="H849" s="11">
        <v>0</v>
      </c>
      <c r="I849" s="11">
        <v>3705.0000</v>
      </c>
      <c r="J849" s="10" t="s">
        <v>218</v>
      </c>
    </row>
    <row r="850" ht="10.95" customHeight="true" customFormat="true" s="8">
      <c r="A850" s="12">
        <v>45371</v>
      </c>
      <c r="B850" s="13" t="s">
        <v>36</v>
      </c>
      <c r="C850" s="13" t="s">
        <v>952</v>
      </c>
      <c r="D850" s="13" t="s">
        <v>951</v>
      </c>
      <c r="E850" s="13" t="s">
        <v>16</v>
      </c>
      <c r="F850" s="14">
        <v>0</v>
      </c>
      <c r="G850" s="14">
        <v>3705.0000</v>
      </c>
      <c r="H850" s="14">
        <v>0</v>
      </c>
      <c r="I850" s="14">
        <v>3705.0000</v>
      </c>
      <c r="J850" s="13" t="s">
        <v>218</v>
      </c>
    </row>
    <row r="851" ht="10.95" customHeight="true" customFormat="true" s="8">
      <c r="A851" s="15" t="s">
        <v>953</v>
      </c>
      <c r="B851" s="15"/>
      <c r="C851" s="15"/>
      <c r="D851" s="15"/>
      <c r="E851" s="15"/>
      <c r="F851" s="16">
        <f ca="1">SUM(F849:F850)</f>
        <v>0</v>
      </c>
      <c r="G851" s="16">
        <f ca="1">SUM(G849:G850)</f>
        <v>0</v>
      </c>
      <c r="H851" s="16">
        <f ca="1">SUM(H849:H850)</f>
        <v>0</v>
      </c>
      <c r="I851" s="16">
        <f ca="1">SUM(I849:I850)</f>
        <v>0</v>
      </c>
      <c r="J851" s="15"/>
    </row>
    <row r="852" ht="13.35" customHeight="true"/>
    <row r="853" ht="12.1" customHeight="true" customFormat="true" s="5">
      <c r="A853" s="17" t="s">
        <v>954</v>
      </c>
      <c r="B853" s="17"/>
      <c r="C853" s="17"/>
      <c r="D853" s="17"/>
      <c r="E853" s="17"/>
      <c r="F853" s="17"/>
      <c r="G853" s="17"/>
      <c r="H853" s="17"/>
      <c r="I853" s="17"/>
      <c r="J853" s="17"/>
    </row>
    <row r="854" ht="197.25" customHeight="true" customFormat="true" s="8">
      <c r="A854" s="9">
        <v>46223</v>
      </c>
      <c r="B854" s="10" t="s">
        <v>36</v>
      </c>
      <c r="C854" s="18" t="s">
        <v>955</v>
      </c>
      <c r="D854" s="10" t="s">
        <v>956</v>
      </c>
      <c r="E854" s="10" t="s">
        <v>16</v>
      </c>
      <c r="F854" s="11">
        <v>0</v>
      </c>
      <c r="G854" s="11">
        <v>2475.0000</v>
      </c>
      <c r="H854" s="11">
        <v>0</v>
      </c>
      <c r="I854" s="11">
        <v>2475.0000</v>
      </c>
      <c r="J854" s="10" t="s">
        <v>268</v>
      </c>
    </row>
    <row r="855" ht="10.95" customHeight="true" customFormat="true" s="8">
      <c r="A855" s="15" t="s">
        <v>957</v>
      </c>
      <c r="B855" s="15"/>
      <c r="C855" s="15"/>
      <c r="D855" s="15"/>
      <c r="E855" s="15"/>
      <c r="F855" s="16">
        <f ca="1">F854</f>
        <v>0</v>
      </c>
      <c r="G855" s="16">
        <f ca="1">G854</f>
        <v>0</v>
      </c>
      <c r="H855" s="16">
        <f ca="1">H854</f>
        <v>0</v>
      </c>
      <c r="I855" s="16">
        <f ca="1">I854</f>
        <v>0</v>
      </c>
      <c r="J855" s="15"/>
    </row>
    <row r="856" ht="13.35" customHeight="true"/>
    <row r="857" ht="12.1" customHeight="true" customFormat="true" s="5">
      <c r="A857" s="17" t="s">
        <v>958</v>
      </c>
      <c r="B857" s="17"/>
      <c r="C857" s="17"/>
      <c r="D857" s="17"/>
      <c r="E857" s="17"/>
      <c r="F857" s="17"/>
      <c r="G857" s="17"/>
      <c r="H857" s="17"/>
      <c r="I857" s="17"/>
      <c r="J857" s="17"/>
    </row>
    <row r="858" ht="10.95" customHeight="true" customFormat="true" s="8">
      <c r="A858" s="9">
        <v>46003</v>
      </c>
      <c r="B858" s="10" t="s">
        <v>36</v>
      </c>
      <c r="C858" s="10" t="s">
        <v>959</v>
      </c>
      <c r="D858" s="10" t="s">
        <v>960</v>
      </c>
      <c r="E858" s="10" t="s">
        <v>16</v>
      </c>
      <c r="F858" s="11">
        <v>0</v>
      </c>
      <c r="G858" s="11">
        <v>1876.7700</v>
      </c>
      <c r="H858" s="11">
        <v>0</v>
      </c>
      <c r="I858" s="11">
        <v>1876.7700</v>
      </c>
      <c r="J858" s="10" t="s">
        <v>46</v>
      </c>
    </row>
    <row r="859" ht="10.95" customHeight="true" customFormat="true" s="8">
      <c r="A859" s="15" t="s">
        <v>961</v>
      </c>
      <c r="B859" s="15"/>
      <c r="C859" s="15"/>
      <c r="D859" s="15"/>
      <c r="E859" s="15"/>
      <c r="F859" s="16">
        <f ca="1">F858</f>
        <v>0</v>
      </c>
      <c r="G859" s="16">
        <f ca="1">G858</f>
        <v>0</v>
      </c>
      <c r="H859" s="16">
        <f ca="1">H858</f>
        <v>0</v>
      </c>
      <c r="I859" s="16">
        <f ca="1">I858</f>
        <v>0</v>
      </c>
      <c r="J859" s="15"/>
    </row>
    <row r="860" ht="13.35" customHeight="true"/>
    <row r="861" ht="12.1" customHeight="true" customFormat="true" s="5">
      <c r="A861" s="17" t="s">
        <v>962</v>
      </c>
      <c r="B861" s="17"/>
      <c r="C861" s="17"/>
      <c r="D861" s="17"/>
      <c r="E861" s="17"/>
      <c r="F861" s="17"/>
      <c r="G861" s="17"/>
      <c r="H861" s="17"/>
      <c r="I861" s="17"/>
      <c r="J861" s="17"/>
    </row>
    <row r="862" ht="10.95" customHeight="true" customFormat="true" s="8">
      <c r="A862" s="9">
        <v>45743</v>
      </c>
      <c r="B862" s="10" t="s">
        <v>36</v>
      </c>
      <c r="C862" s="10" t="s">
        <v>963</v>
      </c>
      <c r="D862" s="10" t="s">
        <v>964</v>
      </c>
      <c r="E862" s="10" t="s">
        <v>16</v>
      </c>
      <c r="F862" s="11">
        <v>0</v>
      </c>
      <c r="G862" s="11">
        <v>11838.2600</v>
      </c>
      <c r="H862" s="11">
        <v>0</v>
      </c>
      <c r="I862" s="11">
        <v>11838.2600</v>
      </c>
      <c r="J862" s="10" t="s">
        <v>17</v>
      </c>
    </row>
    <row r="863" ht="10.95" customHeight="true" customFormat="true" s="8">
      <c r="A863" s="12">
        <v>45743</v>
      </c>
      <c r="B863" s="13" t="s">
        <v>36</v>
      </c>
      <c r="C863" s="13" t="s">
        <v>965</v>
      </c>
      <c r="D863" s="13" t="s">
        <v>964</v>
      </c>
      <c r="E863" s="13" t="s">
        <v>16</v>
      </c>
      <c r="F863" s="14">
        <v>0</v>
      </c>
      <c r="G863" s="14">
        <v>4110.5100</v>
      </c>
      <c r="H863" s="14">
        <v>0</v>
      </c>
      <c r="I863" s="14">
        <v>4110.5100</v>
      </c>
      <c r="J863" s="13" t="s">
        <v>17</v>
      </c>
    </row>
    <row r="864" ht="10.95" customHeight="true" customFormat="true" s="8">
      <c r="A864" s="12">
        <v>45743</v>
      </c>
      <c r="B864" s="13" t="s">
        <v>36</v>
      </c>
      <c r="C864" s="13" t="s">
        <v>966</v>
      </c>
      <c r="D864" s="13" t="s">
        <v>964</v>
      </c>
      <c r="E864" s="13" t="s">
        <v>16</v>
      </c>
      <c r="F864" s="14">
        <v>0</v>
      </c>
      <c r="G864" s="14">
        <v>5544.5500</v>
      </c>
      <c r="H864" s="14">
        <v>0</v>
      </c>
      <c r="I864" s="14">
        <v>5544.5500</v>
      </c>
      <c r="J864" s="13" t="s">
        <v>18</v>
      </c>
    </row>
    <row r="865" ht="10.95" customHeight="true" customFormat="true" s="8">
      <c r="A865" s="12">
        <v>45743</v>
      </c>
      <c r="B865" s="13" t="s">
        <v>36</v>
      </c>
      <c r="C865" s="13" t="s">
        <v>967</v>
      </c>
      <c r="D865" s="13" t="s">
        <v>964</v>
      </c>
      <c r="E865" s="13" t="s">
        <v>16</v>
      </c>
      <c r="F865" s="14">
        <v>0</v>
      </c>
      <c r="G865" s="14">
        <v>1011.8200</v>
      </c>
      <c r="H865" s="14">
        <v>0</v>
      </c>
      <c r="I865" s="14">
        <v>1011.8200</v>
      </c>
      <c r="J865" s="13" t="s">
        <v>19</v>
      </c>
    </row>
    <row r="866" ht="10.95" customHeight="true" customFormat="true" s="8">
      <c r="A866" s="12">
        <v>45743</v>
      </c>
      <c r="B866" s="13" t="s">
        <v>36</v>
      </c>
      <c r="C866" s="13" t="s">
        <v>968</v>
      </c>
      <c r="D866" s="13" t="s">
        <v>964</v>
      </c>
      <c r="E866" s="13" t="s">
        <v>16</v>
      </c>
      <c r="F866" s="14">
        <v>0</v>
      </c>
      <c r="G866" s="14">
        <v>1965.7700</v>
      </c>
      <c r="H866" s="14">
        <v>0</v>
      </c>
      <c r="I866" s="14">
        <v>1965.7700</v>
      </c>
      <c r="J866" s="13" t="s">
        <v>20</v>
      </c>
    </row>
    <row r="867" ht="10.95" customHeight="true" customFormat="true" s="8">
      <c r="A867" s="15" t="s">
        <v>969</v>
      </c>
      <c r="B867" s="15"/>
      <c r="C867" s="15"/>
      <c r="D867" s="15"/>
      <c r="E867" s="15"/>
      <c r="F867" s="16">
        <f ca="1">SUM(F862:F866)</f>
        <v>0</v>
      </c>
      <c r="G867" s="16">
        <f ca="1">SUM(G862:G866)</f>
        <v>0</v>
      </c>
      <c r="H867" s="16">
        <f ca="1">SUM(H862:H866)</f>
        <v>0</v>
      </c>
      <c r="I867" s="16">
        <f ca="1">SUM(I862:I866)</f>
        <v>0</v>
      </c>
      <c r="J867" s="15"/>
    </row>
    <row r="868" ht="13.35" customHeight="true"/>
    <row r="869" ht="12.1" customHeight="true" customFormat="true" s="5">
      <c r="A869" s="17" t="s">
        <v>970</v>
      </c>
      <c r="B869" s="17"/>
      <c r="C869" s="17"/>
      <c r="D869" s="17"/>
      <c r="E869" s="17"/>
      <c r="F869" s="17"/>
      <c r="G869" s="17"/>
      <c r="H869" s="17"/>
      <c r="I869" s="17"/>
      <c r="J869" s="17"/>
    </row>
    <row r="870" ht="10.95" customHeight="true" customFormat="true" s="8">
      <c r="A870" s="9">
        <v>45264</v>
      </c>
      <c r="B870" s="10" t="s">
        <v>36</v>
      </c>
      <c r="C870" s="10" t="s">
        <v>971</v>
      </c>
      <c r="D870" s="10" t="s">
        <v>972</v>
      </c>
      <c r="E870" s="10" t="s">
        <v>16</v>
      </c>
      <c r="F870" s="11">
        <v>0</v>
      </c>
      <c r="G870" s="11">
        <v>2083.3300</v>
      </c>
      <c r="H870" s="11">
        <v>0</v>
      </c>
      <c r="I870" s="11">
        <v>2083.3300</v>
      </c>
      <c r="J870" s="10" t="s">
        <v>430</v>
      </c>
    </row>
    <row r="871" ht="10.95" customHeight="true" customFormat="true" s="8">
      <c r="A871" s="15" t="s">
        <v>973</v>
      </c>
      <c r="B871" s="15"/>
      <c r="C871" s="15"/>
      <c r="D871" s="15"/>
      <c r="E871" s="15"/>
      <c r="F871" s="16">
        <f ca="1">F870</f>
        <v>0</v>
      </c>
      <c r="G871" s="16">
        <f ca="1">G870</f>
        <v>0</v>
      </c>
      <c r="H871" s="16">
        <f ca="1">H870</f>
        <v>0</v>
      </c>
      <c r="I871" s="16">
        <f ca="1">I870</f>
        <v>0</v>
      </c>
      <c r="J871" s="15"/>
    </row>
    <row r="872" ht="13.35" customHeight="true"/>
    <row r="873" ht="12.1" customHeight="true" customFormat="true" s="5">
      <c r="A873" s="17" t="s">
        <v>974</v>
      </c>
      <c r="B873" s="17"/>
      <c r="C873" s="17"/>
      <c r="D873" s="17"/>
      <c r="E873" s="17"/>
      <c r="F873" s="17"/>
      <c r="G873" s="17"/>
      <c r="H873" s="17"/>
      <c r="I873" s="17"/>
      <c r="J873" s="17"/>
    </row>
    <row r="874" ht="10.95" customHeight="true" customFormat="true" s="8">
      <c r="A874" s="9">
        <v>46030</v>
      </c>
      <c r="B874" s="10" t="s">
        <v>36</v>
      </c>
      <c r="C874" s="10" t="s">
        <v>975</v>
      </c>
      <c r="D874" s="10" t="s">
        <v>976</v>
      </c>
      <c r="E874" s="10" t="s">
        <v>16</v>
      </c>
      <c r="F874" s="11">
        <v>0</v>
      </c>
      <c r="G874" s="11">
        <v>850.0000</v>
      </c>
      <c r="H874" s="11">
        <v>0</v>
      </c>
      <c r="I874" s="11">
        <v>850.0000</v>
      </c>
      <c r="J874" s="10" t="s">
        <v>46</v>
      </c>
    </row>
    <row r="875" ht="10.95" customHeight="true" customFormat="true" s="8">
      <c r="A875" s="12">
        <v>46184</v>
      </c>
      <c r="B875" s="13" t="s">
        <v>36</v>
      </c>
      <c r="C875" s="13" t="s">
        <v>977</v>
      </c>
      <c r="D875" s="13" t="s">
        <v>978</v>
      </c>
      <c r="E875" s="13" t="s">
        <v>16</v>
      </c>
      <c r="F875" s="14">
        <v>0</v>
      </c>
      <c r="G875" s="14">
        <v>810.0000</v>
      </c>
      <c r="H875" s="14">
        <v>0</v>
      </c>
      <c r="I875" s="14">
        <v>810.0000</v>
      </c>
      <c r="J875" s="13" t="s">
        <v>46</v>
      </c>
    </row>
    <row r="876" ht="10.95" customHeight="true" customFormat="true" s="8">
      <c r="A876" s="12">
        <v>46184</v>
      </c>
      <c r="B876" s="13" t="s">
        <v>36</v>
      </c>
      <c r="C876" s="13" t="s">
        <v>979</v>
      </c>
      <c r="D876" s="13" t="s">
        <v>978</v>
      </c>
      <c r="E876" s="13" t="s">
        <v>16</v>
      </c>
      <c r="F876" s="14">
        <v>0</v>
      </c>
      <c r="G876" s="14">
        <v>537.2900</v>
      </c>
      <c r="H876" s="14">
        <v>0</v>
      </c>
      <c r="I876" s="14">
        <v>537.2900</v>
      </c>
      <c r="J876" s="13" t="s">
        <v>46</v>
      </c>
    </row>
    <row r="877" ht="10.95" customHeight="true" customFormat="true" s="8">
      <c r="A877" s="12">
        <v>46184</v>
      </c>
      <c r="B877" s="13" t="s">
        <v>36</v>
      </c>
      <c r="C877" s="13" t="s">
        <v>980</v>
      </c>
      <c r="D877" s="13" t="s">
        <v>978</v>
      </c>
      <c r="E877" s="13" t="s">
        <v>16</v>
      </c>
      <c r="F877" s="14">
        <v>0</v>
      </c>
      <c r="G877" s="14">
        <v>252.0000</v>
      </c>
      <c r="H877" s="14">
        <v>0</v>
      </c>
      <c r="I877" s="14">
        <v>252.0000</v>
      </c>
      <c r="J877" s="13" t="s">
        <v>46</v>
      </c>
    </row>
    <row r="878" ht="10.95" customHeight="true" customFormat="true" s="8">
      <c r="A878" s="12">
        <v>46196</v>
      </c>
      <c r="B878" s="13" t="s">
        <v>36</v>
      </c>
      <c r="C878" s="13" t="s">
        <v>981</v>
      </c>
      <c r="D878" s="13" t="s">
        <v>982</v>
      </c>
      <c r="E878" s="13" t="s">
        <v>16</v>
      </c>
      <c r="F878" s="14">
        <v>0</v>
      </c>
      <c r="G878" s="14">
        <v>6991.8000</v>
      </c>
      <c r="H878" s="14">
        <v>0</v>
      </c>
      <c r="I878" s="14">
        <v>6991.8000</v>
      </c>
      <c r="J878" s="13" t="s">
        <v>46</v>
      </c>
    </row>
    <row r="879" ht="10.95" customHeight="true" customFormat="true" s="8">
      <c r="A879" s="12">
        <v>46196</v>
      </c>
      <c r="B879" s="13" t="s">
        <v>36</v>
      </c>
      <c r="C879" s="13" t="s">
        <v>983</v>
      </c>
      <c r="D879" s="13" t="s">
        <v>982</v>
      </c>
      <c r="E879" s="13" t="s">
        <v>16</v>
      </c>
      <c r="F879" s="14">
        <v>0</v>
      </c>
      <c r="G879" s="14">
        <v>3178.2000</v>
      </c>
      <c r="H879" s="14">
        <v>0</v>
      </c>
      <c r="I879" s="14">
        <v>3178.2000</v>
      </c>
      <c r="J879" s="13" t="s">
        <v>46</v>
      </c>
    </row>
    <row r="880" ht="10.95" customHeight="true" customFormat="true" s="8">
      <c r="A880" s="15" t="s">
        <v>984</v>
      </c>
      <c r="B880" s="15"/>
      <c r="C880" s="15"/>
      <c r="D880" s="15"/>
      <c r="E880" s="15"/>
      <c r="F880" s="16">
        <f ca="1">SUM(F874:F879)</f>
        <v>0</v>
      </c>
      <c r="G880" s="16">
        <f ca="1">SUM(G874:G879)</f>
        <v>0</v>
      </c>
      <c r="H880" s="16">
        <f ca="1">SUM(H874:H879)</f>
        <v>0</v>
      </c>
      <c r="I880" s="16">
        <f ca="1">SUM(I874:I879)</f>
        <v>0</v>
      </c>
      <c r="J880" s="15"/>
    </row>
    <row r="881" ht="13.35" customHeight="true"/>
    <row r="882" ht="12.1" customHeight="true" customFormat="true" s="5">
      <c r="A882" s="17" t="s">
        <v>985</v>
      </c>
      <c r="B882" s="17"/>
      <c r="C882" s="17"/>
      <c r="D882" s="17"/>
      <c r="E882" s="17"/>
      <c r="F882" s="17"/>
      <c r="G882" s="17"/>
      <c r="H882" s="17"/>
      <c r="I882" s="17"/>
      <c r="J882" s="17"/>
    </row>
    <row r="883" ht="10.95" customHeight="true" customFormat="true" s="8">
      <c r="A883" s="9">
        <v>45918</v>
      </c>
      <c r="B883" s="10" t="s">
        <v>36</v>
      </c>
      <c r="C883" s="10" t="s">
        <v>986</v>
      </c>
      <c r="D883" s="10" t="s">
        <v>987</v>
      </c>
      <c r="E883" s="10" t="s">
        <v>16</v>
      </c>
      <c r="F883" s="11">
        <v>0</v>
      </c>
      <c r="G883" s="11">
        <v>800.0000</v>
      </c>
      <c r="H883" s="11">
        <v>0</v>
      </c>
      <c r="I883" s="11">
        <v>800.0000</v>
      </c>
      <c r="J883" s="10" t="s">
        <v>46</v>
      </c>
    </row>
    <row r="884" ht="10.95" customHeight="true" customFormat="true" s="8">
      <c r="A884" s="12">
        <v>45966</v>
      </c>
      <c r="B884" s="13" t="s">
        <v>36</v>
      </c>
      <c r="C884" s="13" t="s">
        <v>988</v>
      </c>
      <c r="D884" s="13" t="s">
        <v>989</v>
      </c>
      <c r="E884" s="13" t="s">
        <v>16</v>
      </c>
      <c r="F884" s="14">
        <v>0</v>
      </c>
      <c r="G884" s="14">
        <v>3840.0000</v>
      </c>
      <c r="H884" s="14">
        <v>0</v>
      </c>
      <c r="I884" s="14">
        <v>3840.0000</v>
      </c>
      <c r="J884" s="13" t="s">
        <v>46</v>
      </c>
    </row>
    <row r="885" ht="10.95" customHeight="true" customFormat="true" s="8">
      <c r="A885" s="12">
        <v>45974</v>
      </c>
      <c r="B885" s="13" t="s">
        <v>36</v>
      </c>
      <c r="C885" s="13" t="s">
        <v>988</v>
      </c>
      <c r="D885" s="13" t="s">
        <v>990</v>
      </c>
      <c r="E885" s="13" t="s">
        <v>16</v>
      </c>
      <c r="F885" s="14">
        <v>0</v>
      </c>
      <c r="G885" s="14">
        <v>2200.0000</v>
      </c>
      <c r="H885" s="14">
        <v>0</v>
      </c>
      <c r="I885" s="14">
        <v>2200.0000</v>
      </c>
      <c r="J885" s="13" t="s">
        <v>46</v>
      </c>
    </row>
    <row r="886" ht="10.95" customHeight="true" customFormat="true" s="8">
      <c r="A886" s="12">
        <v>45974</v>
      </c>
      <c r="B886" s="13" t="s">
        <v>36</v>
      </c>
      <c r="C886" s="13" t="s">
        <v>991</v>
      </c>
      <c r="D886" s="13" t="s">
        <v>990</v>
      </c>
      <c r="E886" s="13" t="s">
        <v>16</v>
      </c>
      <c r="F886" s="14">
        <v>0</v>
      </c>
      <c r="G886" s="14">
        <v>7875.0000</v>
      </c>
      <c r="H886" s="14">
        <v>0</v>
      </c>
      <c r="I886" s="14">
        <v>7875.0000</v>
      </c>
      <c r="J886" s="13" t="s">
        <v>46</v>
      </c>
    </row>
    <row r="887" ht="10.95" customHeight="true" customFormat="true" s="8">
      <c r="A887" s="12">
        <v>45974</v>
      </c>
      <c r="B887" s="13" t="s">
        <v>36</v>
      </c>
      <c r="C887" s="13" t="s">
        <v>992</v>
      </c>
      <c r="D887" s="13" t="s">
        <v>990</v>
      </c>
      <c r="E887" s="13" t="s">
        <v>16</v>
      </c>
      <c r="F887" s="14">
        <v>0</v>
      </c>
      <c r="G887" s="14">
        <v>960.0000</v>
      </c>
      <c r="H887" s="14">
        <v>0</v>
      </c>
      <c r="I887" s="14">
        <v>960.0000</v>
      </c>
      <c r="J887" s="13" t="s">
        <v>46</v>
      </c>
    </row>
    <row r="888" ht="10.95" customHeight="true" customFormat="true" s="8">
      <c r="A888" s="12">
        <v>46057</v>
      </c>
      <c r="B888" s="13" t="s">
        <v>36</v>
      </c>
      <c r="C888" s="13" t="s">
        <v>991</v>
      </c>
      <c r="D888" s="13" t="s">
        <v>993</v>
      </c>
      <c r="E888" s="13" t="s">
        <v>16</v>
      </c>
      <c r="F888" s="14">
        <v>0</v>
      </c>
      <c r="G888" s="14">
        <v>1750.0000</v>
      </c>
      <c r="H888" s="14">
        <v>0</v>
      </c>
      <c r="I888" s="14">
        <v>1750.0000</v>
      </c>
      <c r="J888" s="13" t="s">
        <v>46</v>
      </c>
    </row>
    <row r="889" ht="10.95" customHeight="true" customFormat="true" s="8">
      <c r="A889" s="15" t="s">
        <v>994</v>
      </c>
      <c r="B889" s="15"/>
      <c r="C889" s="15"/>
      <c r="D889" s="15"/>
      <c r="E889" s="15"/>
      <c r="F889" s="16">
        <f ca="1">SUM(F883:F888)</f>
        <v>0</v>
      </c>
      <c r="G889" s="16">
        <f ca="1">SUM(G883:G888)</f>
        <v>0</v>
      </c>
      <c r="H889" s="16">
        <f ca="1">SUM(H883:H888)</f>
        <v>0</v>
      </c>
      <c r="I889" s="16">
        <f ca="1">SUM(I883:I888)</f>
        <v>0</v>
      </c>
      <c r="J889" s="15"/>
    </row>
    <row r="890" ht="13.35" customHeight="true"/>
    <row r="891" ht="12.1" customHeight="true" customFormat="true" s="5">
      <c r="A891" s="17" t="s">
        <v>995</v>
      </c>
      <c r="B891" s="17"/>
      <c r="C891" s="17"/>
      <c r="D891" s="17"/>
      <c r="E891" s="17"/>
      <c r="F891" s="17"/>
      <c r="G891" s="17"/>
      <c r="H891" s="17"/>
      <c r="I891" s="17"/>
      <c r="J891" s="17"/>
    </row>
    <row r="892" ht="10.95" customHeight="true" customFormat="true" s="8">
      <c r="A892" s="9">
        <v>46223</v>
      </c>
      <c r="B892" s="10" t="s">
        <v>36</v>
      </c>
      <c r="C892" s="10" t="s">
        <v>996</v>
      </c>
      <c r="D892" s="10" t="s">
        <v>997</v>
      </c>
      <c r="E892" s="10" t="s">
        <v>16</v>
      </c>
      <c r="F892" s="11">
        <v>0</v>
      </c>
      <c r="G892" s="11">
        <v>5481.0000</v>
      </c>
      <c r="H892" s="11">
        <v>0</v>
      </c>
      <c r="I892" s="11">
        <v>5481.0000</v>
      </c>
      <c r="J892" s="10" t="s">
        <v>46</v>
      </c>
    </row>
    <row r="893" ht="10.95" customHeight="true" customFormat="true" s="8">
      <c r="A893" s="12">
        <v>46223</v>
      </c>
      <c r="B893" s="13" t="s">
        <v>36</v>
      </c>
      <c r="C893" s="13" t="s">
        <v>998</v>
      </c>
      <c r="D893" s="13" t="s">
        <v>997</v>
      </c>
      <c r="E893" s="13" t="s">
        <v>16</v>
      </c>
      <c r="F893" s="14">
        <v>0</v>
      </c>
      <c r="G893" s="14">
        <v>5297.4000</v>
      </c>
      <c r="H893" s="14">
        <v>0</v>
      </c>
      <c r="I893" s="14">
        <v>5297.4000</v>
      </c>
      <c r="J893" s="13" t="s">
        <v>46</v>
      </c>
    </row>
    <row r="894" ht="10.95" customHeight="true" customFormat="true" s="8">
      <c r="A894" s="15" t="s">
        <v>999</v>
      </c>
      <c r="B894" s="15"/>
      <c r="C894" s="15"/>
      <c r="D894" s="15"/>
      <c r="E894" s="15"/>
      <c r="F894" s="16">
        <f ca="1">SUM(F892:F893)</f>
        <v>0</v>
      </c>
      <c r="G894" s="16">
        <f ca="1">SUM(G892:G893)</f>
        <v>0</v>
      </c>
      <c r="H894" s="16">
        <f ca="1">SUM(H892:H893)</f>
        <v>0</v>
      </c>
      <c r="I894" s="16">
        <f ca="1">SUM(I892:I893)</f>
        <v>0</v>
      </c>
      <c r="J894" s="15"/>
    </row>
    <row r="895" ht="13.35" customHeight="true"/>
    <row r="896" ht="12.1" customHeight="true" customFormat="true" s="5">
      <c r="A896" s="17" t="s">
        <v>1000</v>
      </c>
      <c r="B896" s="17"/>
      <c r="C896" s="17"/>
      <c r="D896" s="17"/>
      <c r="E896" s="17"/>
      <c r="F896" s="17"/>
      <c r="G896" s="17"/>
      <c r="H896" s="17"/>
      <c r="I896" s="17"/>
      <c r="J896" s="17"/>
    </row>
    <row r="897" ht="10.95" customHeight="true" customFormat="true" s="8">
      <c r="A897" s="9">
        <v>45989</v>
      </c>
      <c r="B897" s="10" t="s">
        <v>36</v>
      </c>
      <c r="C897" s="10" t="s">
        <v>1001</v>
      </c>
      <c r="D897" s="10" t="s">
        <v>1002</v>
      </c>
      <c r="E897" s="10" t="s">
        <v>16</v>
      </c>
      <c r="F897" s="11">
        <v>0</v>
      </c>
      <c r="G897" s="11">
        <v>5202.0100</v>
      </c>
      <c r="H897" s="11">
        <v>0</v>
      </c>
      <c r="I897" s="11">
        <v>5202.0100</v>
      </c>
      <c r="J897" s="10" t="s">
        <v>46</v>
      </c>
    </row>
    <row r="898" ht="10.95" customHeight="true" customFormat="true" s="8">
      <c r="A898" s="15" t="s">
        <v>1003</v>
      </c>
      <c r="B898" s="15"/>
      <c r="C898" s="15"/>
      <c r="D898" s="15"/>
      <c r="E898" s="15"/>
      <c r="F898" s="16">
        <f ca="1">F897</f>
        <v>0</v>
      </c>
      <c r="G898" s="16">
        <f ca="1">G897</f>
        <v>0</v>
      </c>
      <c r="H898" s="16">
        <f ca="1">H897</f>
        <v>0</v>
      </c>
      <c r="I898" s="16">
        <f ca="1">I897</f>
        <v>0</v>
      </c>
      <c r="J898" s="15"/>
    </row>
    <row r="899" ht="13.35" customHeight="true"/>
    <row r="900" ht="12.1" customHeight="true" customFormat="true" s="5">
      <c r="A900" s="17" t="s">
        <v>1004</v>
      </c>
      <c r="B900" s="17"/>
      <c r="C900" s="17"/>
      <c r="D900" s="17"/>
      <c r="E900" s="17"/>
      <c r="F900" s="17"/>
      <c r="G900" s="17"/>
      <c r="H900" s="17"/>
      <c r="I900" s="17"/>
      <c r="J900" s="17"/>
    </row>
    <row r="901" ht="10.95" customHeight="true" customFormat="true" s="8">
      <c r="A901" s="9">
        <v>45411</v>
      </c>
      <c r="B901" s="10" t="s">
        <v>36</v>
      </c>
      <c r="C901" s="10" t="s">
        <v>1005</v>
      </c>
      <c r="D901" s="10" t="s">
        <v>1006</v>
      </c>
      <c r="E901" s="10" t="s">
        <v>16</v>
      </c>
      <c r="F901" s="11">
        <v>0</v>
      </c>
      <c r="G901" s="11">
        <v>791.2700</v>
      </c>
      <c r="H901" s="11">
        <v>0</v>
      </c>
      <c r="I901" s="11">
        <v>791.2700</v>
      </c>
      <c r="J901" s="10" t="s">
        <v>20</v>
      </c>
    </row>
    <row r="902" ht="10.95" customHeight="true" customFormat="true" s="8">
      <c r="A902" s="12">
        <v>45411</v>
      </c>
      <c r="B902" s="13" t="s">
        <v>36</v>
      </c>
      <c r="C902" s="13" t="s">
        <v>1007</v>
      </c>
      <c r="D902" s="13" t="s">
        <v>1006</v>
      </c>
      <c r="E902" s="13" t="s">
        <v>16</v>
      </c>
      <c r="F902" s="14">
        <v>0</v>
      </c>
      <c r="G902" s="14">
        <v>15.2700</v>
      </c>
      <c r="H902" s="14">
        <v>0</v>
      </c>
      <c r="I902" s="14">
        <v>15.2700</v>
      </c>
      <c r="J902" s="13" t="s">
        <v>20</v>
      </c>
    </row>
    <row r="903" ht="10.95" customHeight="true" customFormat="true" s="8">
      <c r="A903" s="12">
        <v>45835</v>
      </c>
      <c r="B903" s="13" t="s">
        <v>36</v>
      </c>
      <c r="C903" s="13" t="s">
        <v>1008</v>
      </c>
      <c r="D903" s="13" t="s">
        <v>1009</v>
      </c>
      <c r="E903" s="13" t="s">
        <v>16</v>
      </c>
      <c r="F903" s="14">
        <v>0</v>
      </c>
      <c r="G903" s="14">
        <v>247.8300</v>
      </c>
      <c r="H903" s="14">
        <v>0</v>
      </c>
      <c r="I903" s="14">
        <v>247.8300</v>
      </c>
      <c r="J903" s="13" t="s">
        <v>46</v>
      </c>
    </row>
    <row r="904" ht="10.95" customHeight="true" customFormat="true" s="8">
      <c r="A904" s="12">
        <v>46181</v>
      </c>
      <c r="B904" s="13" t="s">
        <v>36</v>
      </c>
      <c r="C904" s="13" t="s">
        <v>1010</v>
      </c>
      <c r="D904" s="13" t="s">
        <v>1011</v>
      </c>
      <c r="E904" s="13" t="s">
        <v>16</v>
      </c>
      <c r="F904" s="14">
        <v>0</v>
      </c>
      <c r="G904" s="14">
        <v>480.0000</v>
      </c>
      <c r="H904" s="14">
        <v>0</v>
      </c>
      <c r="I904" s="14">
        <v>480.0000</v>
      </c>
      <c r="J904" s="13" t="s">
        <v>46</v>
      </c>
    </row>
    <row r="905" ht="10.95" customHeight="true" customFormat="true" s="8">
      <c r="A905" s="15" t="s">
        <v>1012</v>
      </c>
      <c r="B905" s="15"/>
      <c r="C905" s="15"/>
      <c r="D905" s="15"/>
      <c r="E905" s="15"/>
      <c r="F905" s="16">
        <f ca="1">SUM(F901:F904)</f>
        <v>0</v>
      </c>
      <c r="G905" s="16">
        <f ca="1">SUM(G901:G904)</f>
        <v>0</v>
      </c>
      <c r="H905" s="16">
        <f ca="1">SUM(H901:H904)</f>
        <v>0</v>
      </c>
      <c r="I905" s="16">
        <f ca="1">SUM(I901:I904)</f>
        <v>0</v>
      </c>
      <c r="J905" s="15"/>
    </row>
    <row r="906" ht="13.35" customHeight="true"/>
    <row r="907" ht="12.1" customHeight="true" customFormat="true" s="5">
      <c r="A907" s="17" t="s">
        <v>1013</v>
      </c>
      <c r="B907" s="17"/>
      <c r="C907" s="17"/>
      <c r="D907" s="17"/>
      <c r="E907" s="17"/>
      <c r="F907" s="17"/>
      <c r="G907" s="17"/>
      <c r="H907" s="17"/>
      <c r="I907" s="17"/>
      <c r="J907" s="17"/>
    </row>
    <row r="908" ht="10.95" customHeight="true" customFormat="true" s="8">
      <c r="A908" s="9">
        <v>45996</v>
      </c>
      <c r="B908" s="10" t="s">
        <v>36</v>
      </c>
      <c r="C908" s="10" t="s">
        <v>1014</v>
      </c>
      <c r="D908" s="10" t="s">
        <v>1015</v>
      </c>
      <c r="E908" s="10" t="s">
        <v>16</v>
      </c>
      <c r="F908" s="11">
        <v>0</v>
      </c>
      <c r="G908" s="11">
        <v>204.0000</v>
      </c>
      <c r="H908" s="11">
        <v>0</v>
      </c>
      <c r="I908" s="11">
        <v>204.0000</v>
      </c>
      <c r="J908" s="10" t="s">
        <v>46</v>
      </c>
    </row>
    <row r="909" ht="10.95" customHeight="true" customFormat="true" s="8">
      <c r="A909" s="12">
        <v>45996</v>
      </c>
      <c r="B909" s="13" t="s">
        <v>36</v>
      </c>
      <c r="C909" s="13" t="s">
        <v>1016</v>
      </c>
      <c r="D909" s="13" t="s">
        <v>1015</v>
      </c>
      <c r="E909" s="13" t="s">
        <v>16</v>
      </c>
      <c r="F909" s="14">
        <v>0</v>
      </c>
      <c r="G909" s="14">
        <v>408.0000</v>
      </c>
      <c r="H909" s="14">
        <v>0</v>
      </c>
      <c r="I909" s="14">
        <v>408.0000</v>
      </c>
      <c r="J909" s="13" t="s">
        <v>46</v>
      </c>
    </row>
    <row r="910" ht="10.95" customHeight="true" customFormat="true" s="8">
      <c r="A910" s="12">
        <v>46123</v>
      </c>
      <c r="B910" s="13" t="s">
        <v>36</v>
      </c>
      <c r="C910" s="13" t="s">
        <v>1016</v>
      </c>
      <c r="D910" s="13" t="s">
        <v>1017</v>
      </c>
      <c r="E910" s="13" t="s">
        <v>16</v>
      </c>
      <c r="F910" s="14">
        <v>0</v>
      </c>
      <c r="G910" s="14">
        <v>204.0000</v>
      </c>
      <c r="H910" s="14">
        <v>0</v>
      </c>
      <c r="I910" s="14">
        <v>204.0000</v>
      </c>
      <c r="J910" s="13" t="s">
        <v>46</v>
      </c>
    </row>
    <row r="911" ht="10.95" customHeight="true" customFormat="true" s="8">
      <c r="A911" s="15" t="s">
        <v>1018</v>
      </c>
      <c r="B911" s="15"/>
      <c r="C911" s="15"/>
      <c r="D911" s="15"/>
      <c r="E911" s="15"/>
      <c r="F911" s="16">
        <f ca="1">SUM(F908:F910)</f>
        <v>0</v>
      </c>
      <c r="G911" s="16">
        <f ca="1">SUM(G908:G910)</f>
        <v>0</v>
      </c>
      <c r="H911" s="16">
        <f ca="1">SUM(H908:H910)</f>
        <v>0</v>
      </c>
      <c r="I911" s="16">
        <f ca="1">SUM(I908:I910)</f>
        <v>0</v>
      </c>
      <c r="J911" s="15"/>
    </row>
    <row r="912" ht="13.35" customHeight="true"/>
    <row r="913" ht="12.1" customHeight="true" customFormat="true" s="5">
      <c r="A913" s="17" t="s">
        <v>1019</v>
      </c>
      <c r="B913" s="17"/>
      <c r="C913" s="17"/>
      <c r="D913" s="17"/>
      <c r="E913" s="17"/>
      <c r="F913" s="17"/>
      <c r="G913" s="17"/>
      <c r="H913" s="17"/>
      <c r="I913" s="17"/>
      <c r="J913" s="17"/>
    </row>
    <row r="914" ht="10.95" customHeight="true" customFormat="true" s="8">
      <c r="A914" s="9">
        <v>45980</v>
      </c>
      <c r="B914" s="10" t="s">
        <v>36</v>
      </c>
      <c r="C914" s="10" t="s">
        <v>1020</v>
      </c>
      <c r="D914" s="10" t="s">
        <v>1021</v>
      </c>
      <c r="E914" s="10" t="s">
        <v>16</v>
      </c>
      <c r="F914" s="11">
        <v>0</v>
      </c>
      <c r="G914" s="11">
        <v>5.0000</v>
      </c>
      <c r="H914" s="11">
        <v>0</v>
      </c>
      <c r="I914" s="11">
        <v>5.0000</v>
      </c>
      <c r="J914" s="10" t="s">
        <v>46</v>
      </c>
    </row>
    <row r="915" ht="10.95" customHeight="true" customFormat="true" s="8">
      <c r="A915" s="12">
        <v>45980</v>
      </c>
      <c r="B915" s="13" t="s">
        <v>36</v>
      </c>
      <c r="C915" s="13" t="s">
        <v>1022</v>
      </c>
      <c r="D915" s="13" t="s">
        <v>1021</v>
      </c>
      <c r="E915" s="13" t="s">
        <v>16</v>
      </c>
      <c r="F915" s="14">
        <v>0</v>
      </c>
      <c r="G915" s="14">
        <v>5.0000</v>
      </c>
      <c r="H915" s="14">
        <v>0</v>
      </c>
      <c r="I915" s="14">
        <v>5.0000</v>
      </c>
      <c r="J915" s="13" t="s">
        <v>46</v>
      </c>
    </row>
    <row r="916" ht="10.95" customHeight="true" customFormat="true" s="8">
      <c r="A916" s="12">
        <v>45980</v>
      </c>
      <c r="B916" s="13" t="s">
        <v>36</v>
      </c>
      <c r="C916" s="13" t="s">
        <v>1023</v>
      </c>
      <c r="D916" s="13" t="s">
        <v>1021</v>
      </c>
      <c r="E916" s="13" t="s">
        <v>16</v>
      </c>
      <c r="F916" s="14">
        <v>0</v>
      </c>
      <c r="G916" s="14">
        <v>5.0000</v>
      </c>
      <c r="H916" s="14">
        <v>0</v>
      </c>
      <c r="I916" s="14">
        <v>5.0000</v>
      </c>
      <c r="J916" s="13" t="s">
        <v>46</v>
      </c>
    </row>
    <row r="917" ht="10.95" customHeight="true" customFormat="true" s="8">
      <c r="A917" s="12">
        <v>45980</v>
      </c>
      <c r="B917" s="13" t="s">
        <v>36</v>
      </c>
      <c r="C917" s="13" t="s">
        <v>1024</v>
      </c>
      <c r="D917" s="13" t="s">
        <v>1021</v>
      </c>
      <c r="E917" s="13" t="s">
        <v>16</v>
      </c>
      <c r="F917" s="14">
        <v>0</v>
      </c>
      <c r="G917" s="14">
        <v>5.0000</v>
      </c>
      <c r="H917" s="14">
        <v>0</v>
      </c>
      <c r="I917" s="14">
        <v>5.0000</v>
      </c>
      <c r="J917" s="13" t="s">
        <v>46</v>
      </c>
    </row>
    <row r="918" ht="10.95" customHeight="true" customFormat="true" s="8">
      <c r="A918" s="12">
        <v>45980</v>
      </c>
      <c r="B918" s="13" t="s">
        <v>36</v>
      </c>
      <c r="C918" s="13" t="s">
        <v>1025</v>
      </c>
      <c r="D918" s="13" t="s">
        <v>1021</v>
      </c>
      <c r="E918" s="13" t="s">
        <v>16</v>
      </c>
      <c r="F918" s="14">
        <v>0</v>
      </c>
      <c r="G918" s="14">
        <v>5.0000</v>
      </c>
      <c r="H918" s="14">
        <v>0</v>
      </c>
      <c r="I918" s="14">
        <v>5.0000</v>
      </c>
      <c r="J918" s="13" t="s">
        <v>46</v>
      </c>
    </row>
    <row r="919" ht="10.95" customHeight="true" customFormat="true" s="8">
      <c r="A919" s="12">
        <v>45980</v>
      </c>
      <c r="B919" s="13" t="s">
        <v>36</v>
      </c>
      <c r="C919" s="13" t="s">
        <v>1026</v>
      </c>
      <c r="D919" s="13" t="s">
        <v>1021</v>
      </c>
      <c r="E919" s="13" t="s">
        <v>16</v>
      </c>
      <c r="F919" s="14">
        <v>0</v>
      </c>
      <c r="G919" s="14">
        <v>5.0000</v>
      </c>
      <c r="H919" s="14">
        <v>0</v>
      </c>
      <c r="I919" s="14">
        <v>5.0000</v>
      </c>
      <c r="J919" s="13" t="s">
        <v>46</v>
      </c>
    </row>
    <row r="920" ht="10.95" customHeight="true" customFormat="true" s="8">
      <c r="A920" s="12">
        <v>45999</v>
      </c>
      <c r="B920" s="13" t="s">
        <v>36</v>
      </c>
      <c r="C920" s="13" t="s">
        <v>1027</v>
      </c>
      <c r="D920" s="13" t="s">
        <v>1028</v>
      </c>
      <c r="E920" s="13" t="s">
        <v>16</v>
      </c>
      <c r="F920" s="14">
        <v>0</v>
      </c>
      <c r="G920" s="14">
        <v>1681.0200</v>
      </c>
      <c r="H920" s="14">
        <v>0</v>
      </c>
      <c r="I920" s="14">
        <v>1681.0200</v>
      </c>
      <c r="J920" s="13" t="s">
        <v>46</v>
      </c>
    </row>
    <row r="921" ht="10.95" customHeight="true" customFormat="true" s="8">
      <c r="A921" s="12">
        <v>45999</v>
      </c>
      <c r="B921" s="13" t="s">
        <v>36</v>
      </c>
      <c r="C921" s="13" t="s">
        <v>1029</v>
      </c>
      <c r="D921" s="13" t="s">
        <v>1028</v>
      </c>
      <c r="E921" s="13" t="s">
        <v>16</v>
      </c>
      <c r="F921" s="14">
        <v>0</v>
      </c>
      <c r="G921" s="14">
        <v>537.2900</v>
      </c>
      <c r="H921" s="14">
        <v>0</v>
      </c>
      <c r="I921" s="14">
        <v>537.2900</v>
      </c>
      <c r="J921" s="13" t="s">
        <v>46</v>
      </c>
    </row>
    <row r="922" ht="10.95" customHeight="true" customFormat="true" s="8">
      <c r="A922" s="12">
        <v>46071</v>
      </c>
      <c r="B922" s="13" t="s">
        <v>36</v>
      </c>
      <c r="C922" s="13" t="s">
        <v>1030</v>
      </c>
      <c r="D922" s="13" t="s">
        <v>1031</v>
      </c>
      <c r="E922" s="13" t="s">
        <v>16</v>
      </c>
      <c r="F922" s="14">
        <v>0</v>
      </c>
      <c r="G922" s="14">
        <v>204.0000</v>
      </c>
      <c r="H922" s="14">
        <v>0</v>
      </c>
      <c r="I922" s="14">
        <v>204.0000</v>
      </c>
      <c r="J922" s="13" t="s">
        <v>46</v>
      </c>
    </row>
    <row r="923" ht="10.95" customHeight="true" customFormat="true" s="8">
      <c r="A923" s="15" t="s">
        <v>1032</v>
      </c>
      <c r="B923" s="15"/>
      <c r="C923" s="15"/>
      <c r="D923" s="15"/>
      <c r="E923" s="15"/>
      <c r="F923" s="16">
        <f ca="1">SUM(F914:F922)</f>
        <v>0</v>
      </c>
      <c r="G923" s="16">
        <f ca="1">SUM(G914:G922)</f>
        <v>0</v>
      </c>
      <c r="H923" s="16">
        <f ca="1">SUM(H914:H922)</f>
        <v>0</v>
      </c>
      <c r="I923" s="16">
        <f ca="1">SUM(I914:I922)</f>
        <v>0</v>
      </c>
      <c r="J923" s="15"/>
    </row>
    <row r="924" ht="13.35" customHeight="true"/>
    <row r="925" ht="12.1" customHeight="true" customFormat="true" s="5">
      <c r="A925" s="17" t="s">
        <v>1033</v>
      </c>
      <c r="B925" s="17"/>
      <c r="C925" s="17"/>
      <c r="D925" s="17"/>
      <c r="E925" s="17"/>
      <c r="F925" s="17"/>
      <c r="G925" s="17"/>
      <c r="H925" s="17"/>
      <c r="I925" s="17"/>
      <c r="J925" s="17"/>
    </row>
    <row r="926" ht="10.95" customHeight="true" customFormat="true" s="8">
      <c r="A926" s="9">
        <v>45713</v>
      </c>
      <c r="B926" s="10" t="s">
        <v>36</v>
      </c>
      <c r="C926" s="10" t="s">
        <v>1034</v>
      </c>
      <c r="D926" s="10" t="s">
        <v>1035</v>
      </c>
      <c r="E926" s="10" t="s">
        <v>16</v>
      </c>
      <c r="F926" s="11">
        <v>0</v>
      </c>
      <c r="G926" s="11">
        <v>21658.0000</v>
      </c>
      <c r="H926" s="11">
        <v>0</v>
      </c>
      <c r="I926" s="11">
        <v>21658.0000</v>
      </c>
      <c r="J926" s="10" t="s">
        <v>20</v>
      </c>
    </row>
    <row r="927" ht="10.95" customHeight="true" customFormat="true" s="8">
      <c r="A927" s="15" t="s">
        <v>1036</v>
      </c>
      <c r="B927" s="15"/>
      <c r="C927" s="15"/>
      <c r="D927" s="15"/>
      <c r="E927" s="15"/>
      <c r="F927" s="16">
        <f ca="1">F926</f>
        <v>0</v>
      </c>
      <c r="G927" s="16">
        <f ca="1">G926</f>
        <v>0</v>
      </c>
      <c r="H927" s="16">
        <f ca="1">H926</f>
        <v>0</v>
      </c>
      <c r="I927" s="16">
        <f ca="1">I926</f>
        <v>0</v>
      </c>
      <c r="J927" s="15"/>
    </row>
    <row r="928" ht="13.35" customHeight="true"/>
    <row r="929" ht="12.1" customHeight="true" customFormat="true" s="5">
      <c r="A929" s="17" t="s">
        <v>1037</v>
      </c>
      <c r="B929" s="17"/>
      <c r="C929" s="17"/>
      <c r="D929" s="17"/>
      <c r="E929" s="17"/>
      <c r="F929" s="17"/>
      <c r="G929" s="17"/>
      <c r="H929" s="17"/>
      <c r="I929" s="17"/>
      <c r="J929" s="17"/>
    </row>
    <row r="930" ht="10.95" customHeight="true" customFormat="true" s="8">
      <c r="A930" s="9">
        <v>45321</v>
      </c>
      <c r="B930" s="10" t="s">
        <v>36</v>
      </c>
      <c r="C930" s="10" t="s">
        <v>1038</v>
      </c>
      <c r="D930" s="10" t="s">
        <v>1039</v>
      </c>
      <c r="E930" s="10" t="s">
        <v>16</v>
      </c>
      <c r="F930" s="11">
        <v>0</v>
      </c>
      <c r="G930" s="11">
        <v>500.0000</v>
      </c>
      <c r="H930" s="11">
        <v>0</v>
      </c>
      <c r="I930" s="11">
        <v>500.0000</v>
      </c>
      <c r="J930" s="10" t="s">
        <v>18</v>
      </c>
    </row>
    <row r="931" ht="10.95" customHeight="true" customFormat="true" s="8">
      <c r="A931" s="12">
        <v>45323</v>
      </c>
      <c r="B931" s="13" t="s">
        <v>36</v>
      </c>
      <c r="C931" s="13" t="s">
        <v>1040</v>
      </c>
      <c r="D931" s="13" t="s">
        <v>1041</v>
      </c>
      <c r="E931" s="13" t="s">
        <v>16</v>
      </c>
      <c r="F931" s="14">
        <v>0</v>
      </c>
      <c r="G931" s="14">
        <v>1827.0000</v>
      </c>
      <c r="H931" s="14">
        <v>0</v>
      </c>
      <c r="I931" s="14">
        <v>1827.0000</v>
      </c>
      <c r="J931" s="13" t="s">
        <v>18</v>
      </c>
    </row>
    <row r="932" ht="10.95" customHeight="true" customFormat="true" s="8">
      <c r="A932" s="12">
        <v>45371</v>
      </c>
      <c r="B932" s="13" t="s">
        <v>36</v>
      </c>
      <c r="C932" s="13" t="s">
        <v>1042</v>
      </c>
      <c r="D932" s="13" t="s">
        <v>1043</v>
      </c>
      <c r="E932" s="13" t="s">
        <v>16</v>
      </c>
      <c r="F932" s="14">
        <v>0</v>
      </c>
      <c r="G932" s="14">
        <v>16575.0000</v>
      </c>
      <c r="H932" s="14">
        <v>0</v>
      </c>
      <c r="I932" s="14">
        <v>16575.0000</v>
      </c>
      <c r="J932" s="13" t="s">
        <v>17</v>
      </c>
    </row>
    <row r="933" ht="10.95" customHeight="true" customFormat="true" s="8">
      <c r="A933" s="12">
        <v>45407</v>
      </c>
      <c r="B933" s="13" t="s">
        <v>36</v>
      </c>
      <c r="C933" s="13" t="s">
        <v>1044</v>
      </c>
      <c r="D933" s="13" t="s">
        <v>1045</v>
      </c>
      <c r="E933" s="13" t="s">
        <v>16</v>
      </c>
      <c r="F933" s="14">
        <v>0</v>
      </c>
      <c r="G933" s="14">
        <v>780.0000</v>
      </c>
      <c r="H933" s="14">
        <v>0</v>
      </c>
      <c r="I933" s="14">
        <v>780.0000</v>
      </c>
      <c r="J933" s="13" t="s">
        <v>218</v>
      </c>
    </row>
    <row r="934" ht="10.95" customHeight="true" customFormat="true" s="8">
      <c r="A934" s="12">
        <v>45407</v>
      </c>
      <c r="B934" s="13" t="s">
        <v>36</v>
      </c>
      <c r="C934" s="13" t="s">
        <v>1046</v>
      </c>
      <c r="D934" s="13" t="s">
        <v>1047</v>
      </c>
      <c r="E934" s="13" t="s">
        <v>16</v>
      </c>
      <c r="F934" s="14">
        <v>0</v>
      </c>
      <c r="G934" s="14">
        <v>1980.0000</v>
      </c>
      <c r="H934" s="14">
        <v>0</v>
      </c>
      <c r="I934" s="14">
        <v>1980.0000</v>
      </c>
      <c r="J934" s="13" t="s">
        <v>218</v>
      </c>
    </row>
    <row r="935" ht="10.95" customHeight="true" customFormat="true" s="8">
      <c r="A935" s="12">
        <v>45407</v>
      </c>
      <c r="B935" s="13" t="s">
        <v>36</v>
      </c>
      <c r="C935" s="13" t="s">
        <v>1048</v>
      </c>
      <c r="D935" s="13" t="s">
        <v>1047</v>
      </c>
      <c r="E935" s="13" t="s">
        <v>16</v>
      </c>
      <c r="F935" s="14">
        <v>0</v>
      </c>
      <c r="G935" s="14">
        <v>1560.0000</v>
      </c>
      <c r="H935" s="14">
        <v>0</v>
      </c>
      <c r="I935" s="14">
        <v>1560.0000</v>
      </c>
      <c r="J935" s="13" t="s">
        <v>218</v>
      </c>
    </row>
    <row r="936" ht="10.95" customHeight="true" customFormat="true" s="8">
      <c r="A936" s="12">
        <v>45737</v>
      </c>
      <c r="B936" s="13" t="s">
        <v>36</v>
      </c>
      <c r="C936" s="13" t="s">
        <v>1049</v>
      </c>
      <c r="D936" s="13" t="s">
        <v>1050</v>
      </c>
      <c r="E936" s="13" t="s">
        <v>16</v>
      </c>
      <c r="F936" s="14">
        <v>0</v>
      </c>
      <c r="G936" s="14">
        <v>120.0000</v>
      </c>
      <c r="H936" s="14">
        <v>0</v>
      </c>
      <c r="I936" s="14">
        <v>120.0000</v>
      </c>
      <c r="J936" s="13" t="s">
        <v>46</v>
      </c>
    </row>
    <row r="937" ht="10.95" customHeight="true" customFormat="true" s="8">
      <c r="A937" s="12">
        <v>45883</v>
      </c>
      <c r="B937" s="13" t="s">
        <v>36</v>
      </c>
      <c r="C937" s="13" t="s">
        <v>1051</v>
      </c>
      <c r="D937" s="13" t="s">
        <v>1052</v>
      </c>
      <c r="E937" s="13" t="s">
        <v>16</v>
      </c>
      <c r="F937" s="14">
        <v>0</v>
      </c>
      <c r="G937" s="14">
        <v>120.0000</v>
      </c>
      <c r="H937" s="14">
        <v>0</v>
      </c>
      <c r="I937" s="14">
        <v>120.0000</v>
      </c>
      <c r="J937" s="13" t="s">
        <v>46</v>
      </c>
    </row>
    <row r="938" ht="10.95" customHeight="true" customFormat="true" s="8">
      <c r="A938" s="12">
        <v>46030</v>
      </c>
      <c r="B938" s="13" t="s">
        <v>36</v>
      </c>
      <c r="C938" s="13" t="s">
        <v>1053</v>
      </c>
      <c r="D938" s="13" t="s">
        <v>1054</v>
      </c>
      <c r="E938" s="13" t="s">
        <v>16</v>
      </c>
      <c r="F938" s="14">
        <v>0</v>
      </c>
      <c r="G938" s="14">
        <v>200.0000</v>
      </c>
      <c r="H938" s="14">
        <v>0</v>
      </c>
      <c r="I938" s="14">
        <v>200.0000</v>
      </c>
      <c r="J938" s="13" t="s">
        <v>46</v>
      </c>
    </row>
    <row r="939" ht="10.95" customHeight="true" customFormat="true" s="8">
      <c r="A939" s="15" t="s">
        <v>1055</v>
      </c>
      <c r="B939" s="15"/>
      <c r="C939" s="15"/>
      <c r="D939" s="15"/>
      <c r="E939" s="15"/>
      <c r="F939" s="16">
        <f ca="1">SUM(F930:F938)</f>
        <v>0</v>
      </c>
      <c r="G939" s="16">
        <f ca="1">SUM(G930:G938)</f>
        <v>0</v>
      </c>
      <c r="H939" s="16">
        <f ca="1">SUM(H930:H938)</f>
        <v>0</v>
      </c>
      <c r="I939" s="16">
        <f ca="1">SUM(I930:I938)</f>
        <v>0</v>
      </c>
      <c r="J939" s="15"/>
    </row>
    <row r="940" ht="13.35" customHeight="true"/>
    <row r="941" ht="12.1" customHeight="true" customFormat="true" s="5">
      <c r="A941" s="17" t="s">
        <v>1056</v>
      </c>
      <c r="B941" s="17"/>
      <c r="C941" s="17"/>
      <c r="D941" s="17"/>
      <c r="E941" s="17"/>
      <c r="F941" s="17"/>
      <c r="G941" s="17"/>
      <c r="H941" s="17"/>
      <c r="I941" s="17"/>
      <c r="J941" s="17"/>
    </row>
    <row r="942" ht="10.95" customHeight="true" customFormat="true" s="8">
      <c r="A942" s="9">
        <v>45303</v>
      </c>
      <c r="B942" s="10" t="s">
        <v>36</v>
      </c>
      <c r="C942" s="10" t="s">
        <v>1057</v>
      </c>
      <c r="D942" s="10" t="s">
        <v>1058</v>
      </c>
      <c r="E942" s="10" t="s">
        <v>16</v>
      </c>
      <c r="F942" s="11">
        <v>0</v>
      </c>
      <c r="G942" s="11">
        <v>1675.7700</v>
      </c>
      <c r="H942" s="11">
        <v>0</v>
      </c>
      <c r="I942" s="11">
        <v>1675.7700</v>
      </c>
      <c r="J942" s="10" t="s">
        <v>18</v>
      </c>
    </row>
    <row r="943" ht="10.95" customHeight="true" customFormat="true" s="8">
      <c r="A943" s="12">
        <v>45630</v>
      </c>
      <c r="B943" s="13" t="s">
        <v>36</v>
      </c>
      <c r="C943" s="13" t="s">
        <v>1059</v>
      </c>
      <c r="D943" s="13" t="s">
        <v>1060</v>
      </c>
      <c r="E943" s="13" t="s">
        <v>16</v>
      </c>
      <c r="F943" s="14">
        <v>0</v>
      </c>
      <c r="G943" s="14">
        <v>1008.5700</v>
      </c>
      <c r="H943" s="14">
        <v>0</v>
      </c>
      <c r="I943" s="14">
        <v>1008.5700</v>
      </c>
      <c r="J943" s="13" t="s">
        <v>46</v>
      </c>
    </row>
    <row r="944" ht="10.95" customHeight="true" customFormat="true" s="8">
      <c r="A944" s="15" t="s">
        <v>1061</v>
      </c>
      <c r="B944" s="15"/>
      <c r="C944" s="15"/>
      <c r="D944" s="15"/>
      <c r="E944" s="15"/>
      <c r="F944" s="16">
        <f ca="1">SUM(F942:F943)</f>
        <v>0</v>
      </c>
      <c r="G944" s="16">
        <f ca="1">SUM(G942:G943)</f>
        <v>0</v>
      </c>
      <c r="H944" s="16">
        <f ca="1">SUM(H942:H943)</f>
        <v>0</v>
      </c>
      <c r="I944" s="16">
        <f ca="1">SUM(I942:I943)</f>
        <v>0</v>
      </c>
      <c r="J944" s="15"/>
    </row>
    <row r="945" ht="13.35" customHeight="true"/>
    <row r="946" ht="12.1" customHeight="true" customFormat="true" s="5">
      <c r="A946" s="17" t="s">
        <v>1062</v>
      </c>
      <c r="B946" s="17"/>
      <c r="C946" s="17"/>
      <c r="D946" s="17"/>
      <c r="E946" s="17"/>
      <c r="F946" s="17"/>
      <c r="G946" s="17"/>
      <c r="H946" s="17"/>
      <c r="I946" s="17"/>
      <c r="J946" s="17"/>
    </row>
    <row r="947" ht="10.95" customHeight="true" customFormat="true" s="8">
      <c r="A947" s="9">
        <v>45427</v>
      </c>
      <c r="B947" s="10" t="s">
        <v>36</v>
      </c>
      <c r="C947" s="10" t="s">
        <v>1063</v>
      </c>
      <c r="D947" s="10" t="s">
        <v>1064</v>
      </c>
      <c r="E947" s="10" t="s">
        <v>16</v>
      </c>
      <c r="F947" s="11">
        <v>0</v>
      </c>
      <c r="G947" s="11">
        <v>795.6000</v>
      </c>
      <c r="H947" s="11">
        <v>0</v>
      </c>
      <c r="I947" s="11">
        <v>795.6000</v>
      </c>
      <c r="J947" s="10" t="s">
        <v>46</v>
      </c>
    </row>
    <row r="948" ht="10.95" customHeight="true" customFormat="true" s="8">
      <c r="A948" s="12">
        <v>45685</v>
      </c>
      <c r="B948" s="13" t="s">
        <v>36</v>
      </c>
      <c r="C948" s="13" t="s">
        <v>1063</v>
      </c>
      <c r="D948" s="13" t="s">
        <v>1065</v>
      </c>
      <c r="E948" s="13" t="s">
        <v>16</v>
      </c>
      <c r="F948" s="14">
        <v>0</v>
      </c>
      <c r="G948" s="14">
        <v>1193.4000</v>
      </c>
      <c r="H948" s="14">
        <v>0</v>
      </c>
      <c r="I948" s="14">
        <v>1193.4000</v>
      </c>
      <c r="J948" s="13" t="s">
        <v>46</v>
      </c>
    </row>
    <row r="949" ht="10.95" customHeight="true" customFormat="true" s="8">
      <c r="A949" s="12">
        <v>45717</v>
      </c>
      <c r="B949" s="13" t="s">
        <v>36</v>
      </c>
      <c r="C949" s="13" t="s">
        <v>1063</v>
      </c>
      <c r="D949" s="13" t="s">
        <v>1066</v>
      </c>
      <c r="E949" s="13" t="s">
        <v>16</v>
      </c>
      <c r="F949" s="14">
        <v>0</v>
      </c>
      <c r="G949" s="14">
        <v>795.6000</v>
      </c>
      <c r="H949" s="14">
        <v>0</v>
      </c>
      <c r="I949" s="14">
        <v>795.6000</v>
      </c>
      <c r="J949" s="13" t="s">
        <v>46</v>
      </c>
    </row>
    <row r="950" ht="10.95" customHeight="true" customFormat="true" s="8">
      <c r="A950" s="12">
        <v>46175</v>
      </c>
      <c r="B950" s="13" t="s">
        <v>36</v>
      </c>
      <c r="C950" s="13" t="s">
        <v>1063</v>
      </c>
      <c r="D950" s="13" t="s">
        <v>1067</v>
      </c>
      <c r="E950" s="13" t="s">
        <v>16</v>
      </c>
      <c r="F950" s="14">
        <v>0</v>
      </c>
      <c r="G950" s="14">
        <v>397.8000</v>
      </c>
      <c r="H950" s="14">
        <v>0</v>
      </c>
      <c r="I950" s="14">
        <v>397.8000</v>
      </c>
      <c r="J950" s="13" t="s">
        <v>46</v>
      </c>
    </row>
    <row r="951" ht="10.95" customHeight="true" customFormat="true" s="8">
      <c r="A951" s="15" t="s">
        <v>1068</v>
      </c>
      <c r="B951" s="15"/>
      <c r="C951" s="15"/>
      <c r="D951" s="15"/>
      <c r="E951" s="15"/>
      <c r="F951" s="16">
        <f ca="1">SUM(F947:F950)</f>
        <v>0</v>
      </c>
      <c r="G951" s="16">
        <f ca="1">SUM(G947:G950)</f>
        <v>0</v>
      </c>
      <c r="H951" s="16">
        <f ca="1">SUM(H947:H950)</f>
        <v>0</v>
      </c>
      <c r="I951" s="16">
        <f ca="1">SUM(I947:I950)</f>
        <v>0</v>
      </c>
      <c r="J951" s="15"/>
    </row>
    <row r="952" ht="13.35" customHeight="true"/>
    <row r="953" ht="12.1" customHeight="true" customFormat="true" s="5">
      <c r="A953" s="17" t="s">
        <v>1069</v>
      </c>
      <c r="B953" s="17"/>
      <c r="C953" s="17"/>
      <c r="D953" s="17"/>
      <c r="E953" s="17"/>
      <c r="F953" s="17"/>
      <c r="G953" s="17"/>
      <c r="H953" s="17"/>
      <c r="I953" s="17"/>
      <c r="J953" s="17"/>
    </row>
    <row r="954" ht="10.95" customHeight="true" customFormat="true" s="8">
      <c r="A954" s="9">
        <v>45804</v>
      </c>
      <c r="B954" s="10" t="s">
        <v>36</v>
      </c>
      <c r="C954" s="10" t="s">
        <v>1070</v>
      </c>
      <c r="D954" s="10" t="s">
        <v>1071</v>
      </c>
      <c r="E954" s="10" t="s">
        <v>16</v>
      </c>
      <c r="F954" s="11">
        <v>0</v>
      </c>
      <c r="G954" s="11">
        <v>298.6100</v>
      </c>
      <c r="H954" s="11">
        <v>0</v>
      </c>
      <c r="I954" s="11">
        <v>298.6100</v>
      </c>
      <c r="J954" s="10" t="s">
        <v>23</v>
      </c>
    </row>
    <row r="955" ht="10.95" customHeight="true" customFormat="true" s="8">
      <c r="A955" s="12">
        <v>45804</v>
      </c>
      <c r="B955" s="13" t="s">
        <v>36</v>
      </c>
      <c r="C955" s="13" t="s">
        <v>1072</v>
      </c>
      <c r="D955" s="13" t="s">
        <v>1071</v>
      </c>
      <c r="E955" s="13" t="s">
        <v>16</v>
      </c>
      <c r="F955" s="14">
        <v>0</v>
      </c>
      <c r="G955" s="14">
        <v>467.1100</v>
      </c>
      <c r="H955" s="14">
        <v>0</v>
      </c>
      <c r="I955" s="14">
        <v>467.1100</v>
      </c>
      <c r="J955" s="13" t="s">
        <v>23</v>
      </c>
    </row>
    <row r="956" ht="10.95" customHeight="true" customFormat="true" s="8">
      <c r="A956" s="12">
        <v>45804</v>
      </c>
      <c r="B956" s="13" t="s">
        <v>36</v>
      </c>
      <c r="C956" s="13" t="s">
        <v>1073</v>
      </c>
      <c r="D956" s="13" t="s">
        <v>1071</v>
      </c>
      <c r="E956" s="13" t="s">
        <v>16</v>
      </c>
      <c r="F956" s="14">
        <v>0</v>
      </c>
      <c r="G956" s="14">
        <v>271.1200</v>
      </c>
      <c r="H956" s="14">
        <v>0</v>
      </c>
      <c r="I956" s="14">
        <v>271.1200</v>
      </c>
      <c r="J956" s="13" t="s">
        <v>23</v>
      </c>
    </row>
    <row r="957" ht="10.95" customHeight="true" customFormat="true" s="8">
      <c r="A957" s="12">
        <v>45804</v>
      </c>
      <c r="B957" s="13" t="s">
        <v>36</v>
      </c>
      <c r="C957" s="13" t="s">
        <v>1074</v>
      </c>
      <c r="D957" s="13" t="s">
        <v>1071</v>
      </c>
      <c r="E957" s="13" t="s">
        <v>16</v>
      </c>
      <c r="F957" s="14">
        <v>0</v>
      </c>
      <c r="G957" s="14">
        <v>341.1700</v>
      </c>
      <c r="H957" s="14">
        <v>0</v>
      </c>
      <c r="I957" s="14">
        <v>341.1700</v>
      </c>
      <c r="J957" s="13" t="s">
        <v>23</v>
      </c>
    </row>
    <row r="958" ht="10.95" customHeight="true" customFormat="true" s="8">
      <c r="A958" s="12">
        <v>45804</v>
      </c>
      <c r="B958" s="13" t="s">
        <v>36</v>
      </c>
      <c r="C958" s="13" t="s">
        <v>1075</v>
      </c>
      <c r="D958" s="13" t="s">
        <v>1071</v>
      </c>
      <c r="E958" s="13" t="s">
        <v>16</v>
      </c>
      <c r="F958" s="14">
        <v>0</v>
      </c>
      <c r="G958" s="14">
        <v>378.8100</v>
      </c>
      <c r="H958" s="14">
        <v>0</v>
      </c>
      <c r="I958" s="14">
        <v>378.8100</v>
      </c>
      <c r="J958" s="13" t="s">
        <v>23</v>
      </c>
    </row>
    <row r="959" ht="10.95" customHeight="true" customFormat="true" s="8">
      <c r="A959" s="12">
        <v>45804</v>
      </c>
      <c r="B959" s="13" t="s">
        <v>36</v>
      </c>
      <c r="C959" s="13" t="s">
        <v>1076</v>
      </c>
      <c r="D959" s="13" t="s">
        <v>1071</v>
      </c>
      <c r="E959" s="13" t="s">
        <v>16</v>
      </c>
      <c r="F959" s="14">
        <v>0</v>
      </c>
      <c r="G959" s="14">
        <v>217.6800</v>
      </c>
      <c r="H959" s="14">
        <v>0</v>
      </c>
      <c r="I959" s="14">
        <v>217.6800</v>
      </c>
      <c r="J959" s="13" t="s">
        <v>23</v>
      </c>
    </row>
    <row r="960" ht="10.95" customHeight="true" customFormat="true" s="8">
      <c r="A960" s="12">
        <v>45804</v>
      </c>
      <c r="B960" s="13" t="s">
        <v>36</v>
      </c>
      <c r="C960" s="13" t="s">
        <v>1077</v>
      </c>
      <c r="D960" s="13" t="s">
        <v>1071</v>
      </c>
      <c r="E960" s="13" t="s">
        <v>16</v>
      </c>
      <c r="F960" s="14">
        <v>0</v>
      </c>
      <c r="G960" s="14">
        <v>526.5700</v>
      </c>
      <c r="H960" s="14">
        <v>0</v>
      </c>
      <c r="I960" s="14">
        <v>526.5700</v>
      </c>
      <c r="J960" s="13" t="s">
        <v>23</v>
      </c>
    </row>
    <row r="961" ht="10.95" customHeight="true" customFormat="true" s="8">
      <c r="A961" s="12">
        <v>45804</v>
      </c>
      <c r="B961" s="13" t="s">
        <v>36</v>
      </c>
      <c r="C961" s="13" t="s">
        <v>1076</v>
      </c>
      <c r="D961" s="13" t="s">
        <v>1071</v>
      </c>
      <c r="E961" s="13" t="s">
        <v>16</v>
      </c>
      <c r="F961" s="14">
        <v>0</v>
      </c>
      <c r="G961" s="14">
        <v>425.3600</v>
      </c>
      <c r="H961" s="14">
        <v>0</v>
      </c>
      <c r="I961" s="14">
        <v>425.3600</v>
      </c>
      <c r="J961" s="13" t="s">
        <v>23</v>
      </c>
    </row>
    <row r="962" ht="10.95" customHeight="true" customFormat="true" s="8">
      <c r="A962" s="12">
        <v>45804</v>
      </c>
      <c r="B962" s="13" t="s">
        <v>36</v>
      </c>
      <c r="C962" s="13" t="s">
        <v>1078</v>
      </c>
      <c r="D962" s="13" t="s">
        <v>1071</v>
      </c>
      <c r="E962" s="13" t="s">
        <v>16</v>
      </c>
      <c r="F962" s="14">
        <v>0</v>
      </c>
      <c r="G962" s="14">
        <v>1500.0000</v>
      </c>
      <c r="H962" s="14">
        <v>0</v>
      </c>
      <c r="I962" s="14">
        <v>1500.0000</v>
      </c>
      <c r="J962" s="13" t="s">
        <v>19</v>
      </c>
    </row>
    <row r="963" ht="10.95" customHeight="true" customFormat="true" s="8">
      <c r="A963" s="15" t="s">
        <v>1079</v>
      </c>
      <c r="B963" s="15"/>
      <c r="C963" s="15"/>
      <c r="D963" s="15"/>
      <c r="E963" s="15"/>
      <c r="F963" s="16">
        <f ca="1">SUM(F954:F962)</f>
        <v>0</v>
      </c>
      <c r="G963" s="16">
        <f ca="1">SUM(G954:G962)</f>
        <v>0</v>
      </c>
      <c r="H963" s="16">
        <f ca="1">SUM(H954:H962)</f>
        <v>0</v>
      </c>
      <c r="I963" s="16">
        <f ca="1">SUM(I954:I962)</f>
        <v>0</v>
      </c>
      <c r="J963" s="15"/>
    </row>
    <row r="964" ht="13.35" customHeight="true"/>
    <row r="965" ht="12.1" customHeight="true" customFormat="true" s="5">
      <c r="A965" s="17" t="s">
        <v>1080</v>
      </c>
      <c r="B965" s="17"/>
      <c r="C965" s="17"/>
      <c r="D965" s="17"/>
      <c r="E965" s="17"/>
      <c r="F965" s="17"/>
      <c r="G965" s="17"/>
      <c r="H965" s="17"/>
      <c r="I965" s="17"/>
      <c r="J965" s="17"/>
    </row>
    <row r="966" ht="10.95" customHeight="true" customFormat="true" s="8">
      <c r="A966" s="9">
        <v>45670</v>
      </c>
      <c r="B966" s="10" t="s">
        <v>36</v>
      </c>
      <c r="C966" s="10" t="s">
        <v>1081</v>
      </c>
      <c r="D966" s="10" t="s">
        <v>1082</v>
      </c>
      <c r="E966" s="10" t="s">
        <v>16</v>
      </c>
      <c r="F966" s="11">
        <v>0</v>
      </c>
      <c r="G966" s="11">
        <v>3353.7600</v>
      </c>
      <c r="H966" s="11">
        <v>0</v>
      </c>
      <c r="I966" s="11">
        <v>3353.7600</v>
      </c>
      <c r="J966" s="10" t="s">
        <v>18</v>
      </c>
    </row>
    <row r="967" ht="10.95" customHeight="true" customFormat="true" s="8">
      <c r="A967" s="15" t="s">
        <v>1083</v>
      </c>
      <c r="B967" s="15"/>
      <c r="C967" s="15"/>
      <c r="D967" s="15"/>
      <c r="E967" s="15"/>
      <c r="F967" s="16">
        <f ca="1">F966</f>
        <v>0</v>
      </c>
      <c r="G967" s="16">
        <f ca="1">G966</f>
        <v>0</v>
      </c>
      <c r="H967" s="16">
        <f ca="1">H966</f>
        <v>0</v>
      </c>
      <c r="I967" s="16">
        <f ca="1">I966</f>
        <v>0</v>
      </c>
      <c r="J967" s="15"/>
    </row>
    <row r="968" ht="13.35" customHeight="true"/>
    <row r="969" ht="12.1" customHeight="true" customFormat="true" s="5">
      <c r="A969" s="17" t="s">
        <v>1084</v>
      </c>
      <c r="B969" s="17"/>
      <c r="C969" s="17"/>
      <c r="D969" s="17"/>
      <c r="E969" s="17"/>
      <c r="F969" s="17"/>
      <c r="G969" s="17"/>
      <c r="H969" s="17"/>
      <c r="I969" s="17"/>
      <c r="J969" s="17"/>
    </row>
    <row r="970" ht="10.95" customHeight="true" customFormat="true" s="8">
      <c r="A970" s="9">
        <v>45933</v>
      </c>
      <c r="B970" s="10" t="s">
        <v>36</v>
      </c>
      <c r="C970" s="10" t="s">
        <v>1085</v>
      </c>
      <c r="D970" s="10" t="s">
        <v>1086</v>
      </c>
      <c r="E970" s="10" t="s">
        <v>16</v>
      </c>
      <c r="F970" s="11">
        <v>0</v>
      </c>
      <c r="G970" s="11">
        <v>4749.0000</v>
      </c>
      <c r="H970" s="11">
        <v>0</v>
      </c>
      <c r="I970" s="11">
        <v>4749.0000</v>
      </c>
      <c r="J970" s="10" t="s">
        <v>46</v>
      </c>
    </row>
    <row r="971" ht="10.95" customHeight="true" customFormat="true" s="8">
      <c r="A971" s="12">
        <v>46093</v>
      </c>
      <c r="B971" s="13" t="s">
        <v>36</v>
      </c>
      <c r="C971" s="13" t="s">
        <v>1087</v>
      </c>
      <c r="D971" s="13" t="s">
        <v>1088</v>
      </c>
      <c r="E971" s="13" t="s">
        <v>16</v>
      </c>
      <c r="F971" s="14">
        <v>0</v>
      </c>
      <c r="G971" s="14">
        <v>9498.8000</v>
      </c>
      <c r="H971" s="14">
        <v>0</v>
      </c>
      <c r="I971" s="14">
        <v>9498.8000</v>
      </c>
      <c r="J971" s="13" t="s">
        <v>46</v>
      </c>
    </row>
    <row r="972" ht="10.95" customHeight="true" customFormat="true" s="8">
      <c r="A972" s="15" t="s">
        <v>1089</v>
      </c>
      <c r="B972" s="15"/>
      <c r="C972" s="15"/>
      <c r="D972" s="15"/>
      <c r="E972" s="15"/>
      <c r="F972" s="16">
        <f ca="1">SUM(F970:F971)</f>
        <v>0</v>
      </c>
      <c r="G972" s="16">
        <f ca="1">SUM(G970:G971)</f>
        <v>0</v>
      </c>
      <c r="H972" s="16">
        <f ca="1">SUM(H970:H971)</f>
        <v>0</v>
      </c>
      <c r="I972" s="16">
        <f ca="1">SUM(I970:I971)</f>
        <v>0</v>
      </c>
      <c r="J972" s="15"/>
    </row>
    <row r="973" ht="13.35" customHeight="true"/>
    <row r="974" ht="12.1" customHeight="true" customFormat="true" s="5">
      <c r="A974" s="17" t="s">
        <v>1090</v>
      </c>
      <c r="B974" s="17"/>
      <c r="C974" s="17"/>
      <c r="D974" s="17"/>
      <c r="E974" s="17"/>
      <c r="F974" s="17"/>
      <c r="G974" s="17"/>
      <c r="H974" s="17"/>
      <c r="I974" s="17"/>
      <c r="J974" s="17"/>
    </row>
    <row r="975" ht="10.95" customHeight="true" customFormat="true" s="8">
      <c r="A975" s="9">
        <v>45545</v>
      </c>
      <c r="B975" s="10" t="s">
        <v>36</v>
      </c>
      <c r="C975" s="10" t="s">
        <v>1091</v>
      </c>
      <c r="D975" s="10" t="s">
        <v>1092</v>
      </c>
      <c r="E975" s="10" t="s">
        <v>16</v>
      </c>
      <c r="F975" s="11">
        <v>0</v>
      </c>
      <c r="G975" s="11">
        <v>907.7200</v>
      </c>
      <c r="H975" s="11">
        <v>0</v>
      </c>
      <c r="I975" s="11">
        <v>907.7200</v>
      </c>
      <c r="J975" s="10" t="s">
        <v>46</v>
      </c>
    </row>
    <row r="976" ht="10.95" customHeight="true" customFormat="true" s="8">
      <c r="A976" s="12">
        <v>45545</v>
      </c>
      <c r="B976" s="13" t="s">
        <v>36</v>
      </c>
      <c r="C976" s="13" t="s">
        <v>1093</v>
      </c>
      <c r="D976" s="13" t="s">
        <v>1094</v>
      </c>
      <c r="E976" s="13" t="s">
        <v>16</v>
      </c>
      <c r="F976" s="14">
        <v>0</v>
      </c>
      <c r="G976" s="14">
        <v>1239.3600</v>
      </c>
      <c r="H976" s="14">
        <v>0</v>
      </c>
      <c r="I976" s="14">
        <v>1239.3600</v>
      </c>
      <c r="J976" s="13" t="s">
        <v>46</v>
      </c>
    </row>
    <row r="977" ht="10.95" customHeight="true" customFormat="true" s="8">
      <c r="A977" s="12">
        <v>45545</v>
      </c>
      <c r="B977" s="13" t="s">
        <v>36</v>
      </c>
      <c r="C977" s="13" t="s">
        <v>1095</v>
      </c>
      <c r="D977" s="13" t="s">
        <v>1094</v>
      </c>
      <c r="E977" s="13" t="s">
        <v>16</v>
      </c>
      <c r="F977" s="14">
        <v>0</v>
      </c>
      <c r="G977" s="14">
        <v>485.4400</v>
      </c>
      <c r="H977" s="14">
        <v>0</v>
      </c>
      <c r="I977" s="14">
        <v>485.4400</v>
      </c>
      <c r="J977" s="13" t="s">
        <v>46</v>
      </c>
    </row>
    <row r="978" ht="10.95" customHeight="true" customFormat="true" s="8">
      <c r="A978" s="12">
        <v>45545</v>
      </c>
      <c r="B978" s="13" t="s">
        <v>36</v>
      </c>
      <c r="C978" s="13" t="s">
        <v>1096</v>
      </c>
      <c r="D978" s="13" t="s">
        <v>1094</v>
      </c>
      <c r="E978" s="13" t="s">
        <v>16</v>
      </c>
      <c r="F978" s="14">
        <v>0</v>
      </c>
      <c r="G978" s="14">
        <v>525.3000</v>
      </c>
      <c r="H978" s="14">
        <v>0</v>
      </c>
      <c r="I978" s="14">
        <v>525.3000</v>
      </c>
      <c r="J978" s="13" t="s">
        <v>46</v>
      </c>
    </row>
    <row r="979" ht="10.95" customHeight="true" customFormat="true" s="8">
      <c r="A979" s="15" t="s">
        <v>1097</v>
      </c>
      <c r="B979" s="15"/>
      <c r="C979" s="15"/>
      <c r="D979" s="15"/>
      <c r="E979" s="15"/>
      <c r="F979" s="16">
        <f ca="1">SUM(F975:F978)</f>
        <v>0</v>
      </c>
      <c r="G979" s="16">
        <f ca="1">SUM(G975:G978)</f>
        <v>0</v>
      </c>
      <c r="H979" s="16">
        <f ca="1">SUM(H975:H978)</f>
        <v>0</v>
      </c>
      <c r="I979" s="16">
        <f ca="1">SUM(I975:I978)</f>
        <v>0</v>
      </c>
      <c r="J979" s="15"/>
    </row>
    <row r="980" ht="13.35" customHeight="true"/>
    <row r="981" ht="12.1" customHeight="true" customFormat="true" s="5">
      <c r="A981" s="17" t="s">
        <v>1098</v>
      </c>
      <c r="B981" s="17"/>
      <c r="C981" s="17"/>
      <c r="D981" s="17"/>
      <c r="E981" s="17"/>
      <c r="F981" s="17"/>
      <c r="G981" s="17"/>
      <c r="H981" s="17"/>
      <c r="I981" s="17"/>
      <c r="J981" s="17"/>
    </row>
    <row r="982" ht="10.95" customHeight="true" customFormat="true" s="8">
      <c r="A982" s="9">
        <v>46044</v>
      </c>
      <c r="B982" s="10" t="s">
        <v>36</v>
      </c>
      <c r="C982" s="10" t="s">
        <v>1099</v>
      </c>
      <c r="D982" s="10" t="s">
        <v>1100</v>
      </c>
      <c r="E982" s="10" t="s">
        <v>16</v>
      </c>
      <c r="F982" s="11">
        <v>0</v>
      </c>
      <c r="G982" s="11">
        <v>3814.2000</v>
      </c>
      <c r="H982" s="11">
        <v>0</v>
      </c>
      <c r="I982" s="11">
        <v>3814.2000</v>
      </c>
      <c r="J982" s="10" t="s">
        <v>46</v>
      </c>
    </row>
    <row r="983" ht="10.95" customHeight="true" customFormat="true" s="8">
      <c r="A983" s="12">
        <v>46044</v>
      </c>
      <c r="B983" s="13" t="s">
        <v>36</v>
      </c>
      <c r="C983" s="13" t="s">
        <v>1101</v>
      </c>
      <c r="D983" s="13" t="s">
        <v>1102</v>
      </c>
      <c r="E983" s="13" t="s">
        <v>16</v>
      </c>
      <c r="F983" s="14">
        <v>0</v>
      </c>
      <c r="G983" s="14">
        <v>3178.4400</v>
      </c>
      <c r="H983" s="14">
        <v>0</v>
      </c>
      <c r="I983" s="14">
        <v>3178.4400</v>
      </c>
      <c r="J983" s="13" t="s">
        <v>46</v>
      </c>
    </row>
    <row r="984" ht="10.95" customHeight="true" customFormat="true" s="8">
      <c r="A984" s="15" t="s">
        <v>1103</v>
      </c>
      <c r="B984" s="15"/>
      <c r="C984" s="15"/>
      <c r="D984" s="15"/>
      <c r="E984" s="15"/>
      <c r="F984" s="16">
        <f ca="1">SUM(F982:F983)</f>
        <v>0</v>
      </c>
      <c r="G984" s="16">
        <f ca="1">SUM(G982:G983)</f>
        <v>0</v>
      </c>
      <c r="H984" s="16">
        <f ca="1">SUM(H982:H983)</f>
        <v>0</v>
      </c>
      <c r="I984" s="16">
        <f ca="1">SUM(I982:I983)</f>
        <v>0</v>
      </c>
      <c r="J984" s="15"/>
    </row>
    <row r="985" ht="13.35" customHeight="true"/>
    <row r="986" ht="12.1" customHeight="true" customFormat="true" s="5">
      <c r="A986" s="17" t="s">
        <v>1104</v>
      </c>
      <c r="B986" s="17"/>
      <c r="C986" s="17"/>
      <c r="D986" s="17"/>
      <c r="E986" s="17"/>
      <c r="F986" s="17"/>
      <c r="G986" s="17"/>
      <c r="H986" s="17"/>
      <c r="I986" s="17"/>
      <c r="J986" s="17"/>
    </row>
    <row r="987" ht="10.95" customHeight="true" customFormat="true" s="8">
      <c r="A987" s="9">
        <v>45329</v>
      </c>
      <c r="B987" s="10" t="s">
        <v>36</v>
      </c>
      <c r="C987" s="10" t="s">
        <v>1105</v>
      </c>
      <c r="D987" s="10" t="s">
        <v>1106</v>
      </c>
      <c r="E987" s="10" t="s">
        <v>16</v>
      </c>
      <c r="F987" s="11">
        <v>0</v>
      </c>
      <c r="G987" s="11">
        <v>750.0000</v>
      </c>
      <c r="H987" s="11">
        <v>0</v>
      </c>
      <c r="I987" s="11">
        <v>750.0000</v>
      </c>
      <c r="J987" s="10" t="s">
        <v>268</v>
      </c>
    </row>
    <row r="988" ht="10.95" customHeight="true" customFormat="true" s="8">
      <c r="A988" s="12">
        <v>45567</v>
      </c>
      <c r="B988" s="13" t="s">
        <v>36</v>
      </c>
      <c r="C988" s="13" t="s">
        <v>1107</v>
      </c>
      <c r="D988" s="13" t="s">
        <v>1108</v>
      </c>
      <c r="E988" s="13" t="s">
        <v>16</v>
      </c>
      <c r="F988" s="14">
        <v>0</v>
      </c>
      <c r="G988" s="14">
        <v>2542.8000</v>
      </c>
      <c r="H988" s="14">
        <v>0</v>
      </c>
      <c r="I988" s="14">
        <v>2542.8000</v>
      </c>
      <c r="J988" s="13" t="s">
        <v>46</v>
      </c>
    </row>
    <row r="989" ht="10.95" customHeight="true" customFormat="true" s="8">
      <c r="A989" s="12">
        <v>46010</v>
      </c>
      <c r="B989" s="13" t="s">
        <v>36</v>
      </c>
      <c r="C989" s="13" t="s">
        <v>1109</v>
      </c>
      <c r="D989" s="13" t="s">
        <v>1110</v>
      </c>
      <c r="E989" s="13" t="s">
        <v>16</v>
      </c>
      <c r="F989" s="14">
        <v>0</v>
      </c>
      <c r="G989" s="14">
        <v>3750.0000</v>
      </c>
      <c r="H989" s="14">
        <v>0</v>
      </c>
      <c r="I989" s="14">
        <v>3750.0000</v>
      </c>
      <c r="J989" s="13" t="s">
        <v>46</v>
      </c>
    </row>
    <row r="990" ht="10.95" customHeight="true" customFormat="true" s="8">
      <c r="A990" s="12">
        <v>46129</v>
      </c>
      <c r="B990" s="13" t="s">
        <v>36</v>
      </c>
      <c r="C990" s="13" t="s">
        <v>1111</v>
      </c>
      <c r="D990" s="13" t="s">
        <v>1112</v>
      </c>
      <c r="E990" s="13" t="s">
        <v>16</v>
      </c>
      <c r="F990" s="14">
        <v>0</v>
      </c>
      <c r="G990" s="14">
        <v>2225.4000</v>
      </c>
      <c r="H990" s="14">
        <v>0</v>
      </c>
      <c r="I990" s="14">
        <v>2225.4000</v>
      </c>
      <c r="J990" s="13" t="s">
        <v>46</v>
      </c>
    </row>
    <row r="991" ht="10.95" customHeight="true" customFormat="true" s="8">
      <c r="A991" s="12">
        <v>46177</v>
      </c>
      <c r="B991" s="13" t="s">
        <v>36</v>
      </c>
      <c r="C991" s="13" t="s">
        <v>1113</v>
      </c>
      <c r="D991" s="13" t="s">
        <v>1114</v>
      </c>
      <c r="E991" s="13" t="s">
        <v>16</v>
      </c>
      <c r="F991" s="14">
        <v>0</v>
      </c>
      <c r="G991" s="14">
        <v>9181.2000</v>
      </c>
      <c r="H991" s="14">
        <v>0</v>
      </c>
      <c r="I991" s="14">
        <v>9181.2000</v>
      </c>
      <c r="J991" s="13" t="s">
        <v>46</v>
      </c>
    </row>
    <row r="992" ht="10.95" customHeight="true" customFormat="true" s="8">
      <c r="A992" s="12">
        <v>46177</v>
      </c>
      <c r="B992" s="13" t="s">
        <v>36</v>
      </c>
      <c r="C992" s="13" t="s">
        <v>1115</v>
      </c>
      <c r="D992" s="13" t="s">
        <v>1114</v>
      </c>
      <c r="E992" s="13" t="s">
        <v>16</v>
      </c>
      <c r="F992" s="14">
        <v>0</v>
      </c>
      <c r="G992" s="14">
        <v>1836.2400</v>
      </c>
      <c r="H992" s="14">
        <v>0</v>
      </c>
      <c r="I992" s="14">
        <v>1836.2400</v>
      </c>
      <c r="J992" s="13" t="s">
        <v>46</v>
      </c>
    </row>
    <row r="993" ht="10.95" customHeight="true" customFormat="true" s="8">
      <c r="A993" s="12">
        <v>46177</v>
      </c>
      <c r="B993" s="13" t="s">
        <v>36</v>
      </c>
      <c r="C993" s="13" t="s">
        <v>1116</v>
      </c>
      <c r="D993" s="13" t="s">
        <v>1114</v>
      </c>
      <c r="E993" s="13" t="s">
        <v>16</v>
      </c>
      <c r="F993" s="14">
        <v>0</v>
      </c>
      <c r="G993" s="14">
        <v>1461.6000</v>
      </c>
      <c r="H993" s="14">
        <v>0</v>
      </c>
      <c r="I993" s="14">
        <v>1461.6000</v>
      </c>
      <c r="J993" s="13" t="s">
        <v>46</v>
      </c>
    </row>
    <row r="994" ht="10.95" customHeight="true" customFormat="true" s="8">
      <c r="A994" s="15" t="s">
        <v>1117</v>
      </c>
      <c r="B994" s="15"/>
      <c r="C994" s="15"/>
      <c r="D994" s="15"/>
      <c r="E994" s="15"/>
      <c r="F994" s="16">
        <f ca="1">SUM(F987:F993)</f>
        <v>0</v>
      </c>
      <c r="G994" s="16">
        <f ca="1">SUM(G987:G993)</f>
        <v>0</v>
      </c>
      <c r="H994" s="16">
        <f ca="1">SUM(H987:H993)</f>
        <v>0</v>
      </c>
      <c r="I994" s="16">
        <f ca="1">SUM(I987:I993)</f>
        <v>0</v>
      </c>
      <c r="J994" s="15"/>
    </row>
    <row r="995" ht="13.35" customHeight="true"/>
    <row r="996" ht="12.1" customHeight="true" customFormat="true" s="5">
      <c r="A996" s="17" t="s">
        <v>1118</v>
      </c>
      <c r="B996" s="17"/>
      <c r="C996" s="17"/>
      <c r="D996" s="17"/>
      <c r="E996" s="17"/>
      <c r="F996" s="17"/>
      <c r="G996" s="17"/>
      <c r="H996" s="17"/>
      <c r="I996" s="17"/>
      <c r="J996" s="17"/>
    </row>
    <row r="997" ht="10.95" customHeight="true" customFormat="true" s="8">
      <c r="A997" s="9">
        <v>45484</v>
      </c>
      <c r="B997" s="10" t="s">
        <v>36</v>
      </c>
      <c r="C997" s="10" t="s">
        <v>1119</v>
      </c>
      <c r="D997" s="10" t="s">
        <v>1120</v>
      </c>
      <c r="E997" s="10" t="s">
        <v>16</v>
      </c>
      <c r="F997" s="11">
        <v>0</v>
      </c>
      <c r="G997" s="11">
        <v>1863.5300</v>
      </c>
      <c r="H997" s="11">
        <v>0</v>
      </c>
      <c r="I997" s="11">
        <v>1863.5300</v>
      </c>
      <c r="J997" s="10" t="s">
        <v>46</v>
      </c>
    </row>
    <row r="998" ht="10.95" customHeight="true" customFormat="true" s="8">
      <c r="A998" s="12">
        <v>45484</v>
      </c>
      <c r="B998" s="13" t="s">
        <v>36</v>
      </c>
      <c r="C998" s="13" t="s">
        <v>1121</v>
      </c>
      <c r="D998" s="13" t="s">
        <v>1122</v>
      </c>
      <c r="E998" s="13" t="s">
        <v>16</v>
      </c>
      <c r="F998" s="14">
        <v>0</v>
      </c>
      <c r="G998" s="14">
        <v>176.7100</v>
      </c>
      <c r="H998" s="14">
        <v>0</v>
      </c>
      <c r="I998" s="14">
        <v>176.7100</v>
      </c>
      <c r="J998" s="13" t="s">
        <v>46</v>
      </c>
    </row>
    <row r="999" ht="10.95" customHeight="true" customFormat="true" s="8">
      <c r="A999" s="15" t="s">
        <v>1123</v>
      </c>
      <c r="B999" s="15"/>
      <c r="C999" s="15"/>
      <c r="D999" s="15"/>
      <c r="E999" s="15"/>
      <c r="F999" s="16">
        <f ca="1">SUM(F997:F998)</f>
        <v>0</v>
      </c>
      <c r="G999" s="16">
        <f ca="1">SUM(G997:G998)</f>
        <v>0</v>
      </c>
      <c r="H999" s="16">
        <f ca="1">SUM(H997:H998)</f>
        <v>0</v>
      </c>
      <c r="I999" s="16">
        <f ca="1">SUM(I997:I998)</f>
        <v>0</v>
      </c>
      <c r="J999" s="15"/>
    </row>
    <row r="1000" ht="13.35" customHeight="true"/>
    <row r="1001" ht="12.1" customHeight="true" customFormat="true" s="5">
      <c r="A1001" s="17" t="s">
        <v>1124</v>
      </c>
      <c r="B1001" s="17"/>
      <c r="C1001" s="17"/>
      <c r="D1001" s="17"/>
      <c r="E1001" s="17"/>
      <c r="F1001" s="17"/>
      <c r="G1001" s="17"/>
      <c r="H1001" s="17"/>
      <c r="I1001" s="17"/>
      <c r="J1001" s="17"/>
    </row>
    <row r="1002" ht="10.95" customHeight="true" customFormat="true" s="8">
      <c r="A1002" s="9">
        <v>45548</v>
      </c>
      <c r="B1002" s="10" t="s">
        <v>36</v>
      </c>
      <c r="C1002" s="10" t="s">
        <v>1125</v>
      </c>
      <c r="D1002" s="10" t="s">
        <v>1126</v>
      </c>
      <c r="E1002" s="10" t="s">
        <v>16</v>
      </c>
      <c r="F1002" s="11">
        <v>0</v>
      </c>
      <c r="G1002" s="11">
        <v>2943.0000</v>
      </c>
      <c r="H1002" s="11">
        <v>0</v>
      </c>
      <c r="I1002" s="11">
        <v>2943.0000</v>
      </c>
      <c r="J1002" s="10" t="s">
        <v>46</v>
      </c>
    </row>
    <row r="1003" ht="10.95" customHeight="true" customFormat="true" s="8">
      <c r="A1003" s="15" t="s">
        <v>1127</v>
      </c>
      <c r="B1003" s="15"/>
      <c r="C1003" s="15"/>
      <c r="D1003" s="15"/>
      <c r="E1003" s="15"/>
      <c r="F1003" s="16">
        <f ca="1">F1002</f>
        <v>0</v>
      </c>
      <c r="G1003" s="16">
        <f ca="1">G1002</f>
        <v>0</v>
      </c>
      <c r="H1003" s="16">
        <f ca="1">H1002</f>
        <v>0</v>
      </c>
      <c r="I1003" s="16">
        <f ca="1">I1002</f>
        <v>0</v>
      </c>
      <c r="J1003" s="15"/>
    </row>
    <row r="1004" ht="13.35" customHeight="true"/>
    <row r="1005" ht="12.1" customHeight="true" customFormat="true" s="5">
      <c r="A1005" s="17" t="s">
        <v>1128</v>
      </c>
      <c r="B1005" s="17"/>
      <c r="C1005" s="17"/>
      <c r="D1005" s="17"/>
      <c r="E1005" s="17"/>
      <c r="F1005" s="17"/>
      <c r="G1005" s="17"/>
      <c r="H1005" s="17"/>
      <c r="I1005" s="17"/>
      <c r="J1005" s="17"/>
    </row>
    <row r="1006" ht="10.95" customHeight="true" customFormat="true" s="8">
      <c r="A1006" s="9">
        <v>45706</v>
      </c>
      <c r="B1006" s="10" t="s">
        <v>36</v>
      </c>
      <c r="C1006" s="10" t="s">
        <v>1129</v>
      </c>
      <c r="D1006" s="10" t="s">
        <v>1130</v>
      </c>
      <c r="E1006" s="10" t="s">
        <v>16</v>
      </c>
      <c r="F1006" s="11">
        <v>0</v>
      </c>
      <c r="G1006" s="11">
        <v>540.0000</v>
      </c>
      <c r="H1006" s="11">
        <v>0</v>
      </c>
      <c r="I1006" s="11">
        <v>540.0000</v>
      </c>
      <c r="J1006" s="10" t="s">
        <v>46</v>
      </c>
    </row>
    <row r="1007" ht="10.95" customHeight="true" customFormat="true" s="8">
      <c r="A1007" s="12">
        <v>45706</v>
      </c>
      <c r="B1007" s="13" t="s">
        <v>36</v>
      </c>
      <c r="C1007" s="13" t="s">
        <v>1131</v>
      </c>
      <c r="D1007" s="13" t="s">
        <v>1130</v>
      </c>
      <c r="E1007" s="13" t="s">
        <v>16</v>
      </c>
      <c r="F1007" s="14">
        <v>0</v>
      </c>
      <c r="G1007" s="14">
        <v>720.0000</v>
      </c>
      <c r="H1007" s="14">
        <v>0</v>
      </c>
      <c r="I1007" s="14">
        <v>720.0000</v>
      </c>
      <c r="J1007" s="13" t="s">
        <v>46</v>
      </c>
    </row>
    <row r="1008" ht="10.95" customHeight="true" customFormat="true" s="8">
      <c r="A1008" s="15" t="s">
        <v>1132</v>
      </c>
      <c r="B1008" s="15"/>
      <c r="C1008" s="15"/>
      <c r="D1008" s="15"/>
      <c r="E1008" s="15"/>
      <c r="F1008" s="16">
        <f ca="1">SUM(F1006:F1007)</f>
        <v>0</v>
      </c>
      <c r="G1008" s="16">
        <f ca="1">SUM(G1006:G1007)</f>
        <v>0</v>
      </c>
      <c r="H1008" s="16">
        <f ca="1">SUM(H1006:H1007)</f>
        <v>0</v>
      </c>
      <c r="I1008" s="16">
        <f ca="1">SUM(I1006:I1007)</f>
        <v>0</v>
      </c>
      <c r="J1008" s="15"/>
    </row>
    <row r="1009" ht="13.35" customHeight="true"/>
    <row r="1010" ht="12.1" customHeight="true" customFormat="true" s="5">
      <c r="A1010" s="17" t="s">
        <v>1133</v>
      </c>
      <c r="B1010" s="17"/>
      <c r="C1010" s="17"/>
      <c r="D1010" s="17"/>
      <c r="E1010" s="17"/>
      <c r="F1010" s="17"/>
      <c r="G1010" s="17"/>
      <c r="H1010" s="17"/>
      <c r="I1010" s="17"/>
      <c r="J1010" s="17"/>
    </row>
    <row r="1011" ht="10.95" customHeight="true" customFormat="true" s="8">
      <c r="A1011" s="9">
        <v>45548</v>
      </c>
      <c r="B1011" s="10" t="s">
        <v>36</v>
      </c>
      <c r="C1011" s="10" t="s">
        <v>1134</v>
      </c>
      <c r="D1011" s="10" t="s">
        <v>1135</v>
      </c>
      <c r="E1011" s="10" t="s">
        <v>16</v>
      </c>
      <c r="F1011" s="11">
        <v>0</v>
      </c>
      <c r="G1011" s="11">
        <v>1827.0000</v>
      </c>
      <c r="H1011" s="11">
        <v>0</v>
      </c>
      <c r="I1011" s="11">
        <v>1827.0000</v>
      </c>
      <c r="J1011" s="10" t="s">
        <v>46</v>
      </c>
    </row>
    <row r="1012" ht="10.95" customHeight="true" customFormat="true" s="8">
      <c r="A1012" s="15" t="s">
        <v>1136</v>
      </c>
      <c r="B1012" s="15"/>
      <c r="C1012" s="15"/>
      <c r="D1012" s="15"/>
      <c r="E1012" s="15"/>
      <c r="F1012" s="16">
        <f ca="1">F1011</f>
        <v>0</v>
      </c>
      <c r="G1012" s="16">
        <f ca="1">G1011</f>
        <v>0</v>
      </c>
      <c r="H1012" s="16">
        <f ca="1">H1011</f>
        <v>0</v>
      </c>
      <c r="I1012" s="16">
        <f ca="1">I1011</f>
        <v>0</v>
      </c>
      <c r="J1012" s="15"/>
    </row>
    <row r="1013" ht="13.35" customHeight="true"/>
    <row r="1014" ht="12.1" customHeight="true" customFormat="true" s="5">
      <c r="A1014" s="17" t="s">
        <v>1137</v>
      </c>
      <c r="B1014" s="17"/>
      <c r="C1014" s="17"/>
      <c r="D1014" s="17"/>
      <c r="E1014" s="17"/>
      <c r="F1014" s="17"/>
      <c r="G1014" s="17"/>
      <c r="H1014" s="17"/>
      <c r="I1014" s="17"/>
      <c r="J1014" s="17"/>
    </row>
    <row r="1015" ht="10.95" customHeight="true" customFormat="true" s="8">
      <c r="A1015" s="9">
        <v>45646</v>
      </c>
      <c r="B1015" s="10" t="s">
        <v>36</v>
      </c>
      <c r="C1015" s="10" t="s">
        <v>1138</v>
      </c>
      <c r="D1015" s="10" t="s">
        <v>1139</v>
      </c>
      <c r="E1015" s="10" t="s">
        <v>16</v>
      </c>
      <c r="F1015" s="11">
        <v>0</v>
      </c>
      <c r="G1015" s="11">
        <v>9583.4700</v>
      </c>
      <c r="H1015" s="11">
        <v>0</v>
      </c>
      <c r="I1015" s="11">
        <v>9583.4700</v>
      </c>
      <c r="J1015" s="10" t="s">
        <v>17</v>
      </c>
    </row>
    <row r="1016" ht="10.95" customHeight="true" customFormat="true" s="8">
      <c r="A1016" s="12">
        <v>45646</v>
      </c>
      <c r="B1016" s="13" t="s">
        <v>36</v>
      </c>
      <c r="C1016" s="13" t="s">
        <v>1140</v>
      </c>
      <c r="D1016" s="13" t="s">
        <v>1139</v>
      </c>
      <c r="E1016" s="13" t="s">
        <v>16</v>
      </c>
      <c r="F1016" s="14">
        <v>0</v>
      </c>
      <c r="G1016" s="14">
        <v>1061.0200</v>
      </c>
      <c r="H1016" s="14">
        <v>0</v>
      </c>
      <c r="I1016" s="14">
        <v>1061.0200</v>
      </c>
      <c r="J1016" s="13" t="s">
        <v>17</v>
      </c>
    </row>
    <row r="1017" ht="10.95" customHeight="true" customFormat="true" s="8">
      <c r="A1017" s="12">
        <v>45646</v>
      </c>
      <c r="B1017" s="13" t="s">
        <v>36</v>
      </c>
      <c r="C1017" s="13" t="s">
        <v>1141</v>
      </c>
      <c r="D1017" s="13" t="s">
        <v>1139</v>
      </c>
      <c r="E1017" s="13" t="s">
        <v>16</v>
      </c>
      <c r="F1017" s="14">
        <v>0</v>
      </c>
      <c r="G1017" s="14">
        <v>3460.1600</v>
      </c>
      <c r="H1017" s="14">
        <v>0</v>
      </c>
      <c r="I1017" s="14">
        <v>3460.1600</v>
      </c>
      <c r="J1017" s="13" t="s">
        <v>125</v>
      </c>
    </row>
    <row r="1018" ht="10.95" customHeight="true" customFormat="true" s="8">
      <c r="A1018" s="12">
        <v>45646</v>
      </c>
      <c r="B1018" s="13" t="s">
        <v>36</v>
      </c>
      <c r="C1018" s="13" t="s">
        <v>1142</v>
      </c>
      <c r="D1018" s="13" t="s">
        <v>1139</v>
      </c>
      <c r="E1018" s="13" t="s">
        <v>16</v>
      </c>
      <c r="F1018" s="14">
        <v>0</v>
      </c>
      <c r="G1018" s="14">
        <v>5279.0700</v>
      </c>
      <c r="H1018" s="14">
        <v>0</v>
      </c>
      <c r="I1018" s="14">
        <v>5279.0700</v>
      </c>
      <c r="J1018" s="13" t="s">
        <v>20</v>
      </c>
    </row>
    <row r="1019" ht="10.95" customHeight="true" customFormat="true" s="8">
      <c r="A1019" s="12">
        <v>45646</v>
      </c>
      <c r="B1019" s="13" t="s">
        <v>36</v>
      </c>
      <c r="C1019" s="13" t="s">
        <v>1143</v>
      </c>
      <c r="D1019" s="13" t="s">
        <v>1139</v>
      </c>
      <c r="E1019" s="13" t="s">
        <v>16</v>
      </c>
      <c r="F1019" s="14">
        <v>0</v>
      </c>
      <c r="G1019" s="14">
        <v>912.7200</v>
      </c>
      <c r="H1019" s="14">
        <v>0</v>
      </c>
      <c r="I1019" s="14">
        <v>912.7200</v>
      </c>
      <c r="J1019" s="13" t="s">
        <v>19</v>
      </c>
    </row>
    <row r="1020" ht="10.95" customHeight="true" customFormat="true" s="8">
      <c r="A1020" s="12">
        <v>46171</v>
      </c>
      <c r="B1020" s="13" t="s">
        <v>36</v>
      </c>
      <c r="C1020" s="13" t="s">
        <v>1144</v>
      </c>
      <c r="D1020" s="13" t="s">
        <v>1145</v>
      </c>
      <c r="E1020" s="13" t="s">
        <v>16</v>
      </c>
      <c r="F1020" s="14">
        <v>0</v>
      </c>
      <c r="G1020" s="14">
        <v>1769.3400</v>
      </c>
      <c r="H1020" s="14">
        <v>0</v>
      </c>
      <c r="I1020" s="14">
        <v>1769.3400</v>
      </c>
      <c r="J1020" s="13" t="s">
        <v>46</v>
      </c>
    </row>
    <row r="1021" ht="10.95" customHeight="true" customFormat="true" s="8">
      <c r="A1021" s="12">
        <v>46171</v>
      </c>
      <c r="B1021" s="13" t="s">
        <v>36</v>
      </c>
      <c r="C1021" s="13" t="s">
        <v>1146</v>
      </c>
      <c r="D1021" s="13" t="s">
        <v>1145</v>
      </c>
      <c r="E1021" s="13" t="s">
        <v>16</v>
      </c>
      <c r="F1021" s="14">
        <v>0</v>
      </c>
      <c r="G1021" s="14">
        <v>3693.8300</v>
      </c>
      <c r="H1021" s="14">
        <v>0</v>
      </c>
      <c r="I1021" s="14">
        <v>3693.8300</v>
      </c>
      <c r="J1021" s="13" t="s">
        <v>46</v>
      </c>
    </row>
    <row r="1022" ht="10.95" customHeight="true" customFormat="true" s="8">
      <c r="A1022" s="12">
        <v>46171</v>
      </c>
      <c r="B1022" s="13" t="s">
        <v>36</v>
      </c>
      <c r="C1022" s="13" t="s">
        <v>1147</v>
      </c>
      <c r="D1022" s="13" t="s">
        <v>1145</v>
      </c>
      <c r="E1022" s="13" t="s">
        <v>16</v>
      </c>
      <c r="F1022" s="14">
        <v>0</v>
      </c>
      <c r="G1022" s="14">
        <v>1389.7100</v>
      </c>
      <c r="H1022" s="14">
        <v>0</v>
      </c>
      <c r="I1022" s="14">
        <v>1389.7100</v>
      </c>
      <c r="J1022" s="13" t="s">
        <v>46</v>
      </c>
    </row>
    <row r="1023" ht="10.95" customHeight="true" customFormat="true" s="8">
      <c r="A1023" s="12">
        <v>46171</v>
      </c>
      <c r="B1023" s="13" t="s">
        <v>36</v>
      </c>
      <c r="C1023" s="13" t="s">
        <v>1148</v>
      </c>
      <c r="D1023" s="13" t="s">
        <v>1145</v>
      </c>
      <c r="E1023" s="13" t="s">
        <v>16</v>
      </c>
      <c r="F1023" s="14">
        <v>0</v>
      </c>
      <c r="G1023" s="14">
        <v>1626.9800</v>
      </c>
      <c r="H1023" s="14">
        <v>0</v>
      </c>
      <c r="I1023" s="14">
        <v>1626.9800</v>
      </c>
      <c r="J1023" s="13" t="s">
        <v>46</v>
      </c>
    </row>
    <row r="1024" ht="10.95" customHeight="true" customFormat="true" s="8">
      <c r="A1024" s="12">
        <v>46171</v>
      </c>
      <c r="B1024" s="13" t="s">
        <v>36</v>
      </c>
      <c r="C1024" s="13" t="s">
        <v>1149</v>
      </c>
      <c r="D1024" s="13" t="s">
        <v>1145</v>
      </c>
      <c r="E1024" s="13" t="s">
        <v>16</v>
      </c>
      <c r="F1024" s="14">
        <v>0</v>
      </c>
      <c r="G1024" s="14">
        <v>813.4900</v>
      </c>
      <c r="H1024" s="14">
        <v>0</v>
      </c>
      <c r="I1024" s="14">
        <v>813.4900</v>
      </c>
      <c r="J1024" s="13" t="s">
        <v>46</v>
      </c>
    </row>
    <row r="1025" ht="10.95" customHeight="true" customFormat="true" s="8">
      <c r="A1025" s="12">
        <v>46171</v>
      </c>
      <c r="B1025" s="13" t="s">
        <v>36</v>
      </c>
      <c r="C1025" s="13" t="s">
        <v>1150</v>
      </c>
      <c r="D1025" s="13" t="s">
        <v>1145</v>
      </c>
      <c r="E1025" s="13" t="s">
        <v>16</v>
      </c>
      <c r="F1025" s="14">
        <v>0</v>
      </c>
      <c r="G1025" s="14">
        <v>2614.8000</v>
      </c>
      <c r="H1025" s="14">
        <v>0</v>
      </c>
      <c r="I1025" s="14">
        <v>2614.8000</v>
      </c>
      <c r="J1025" s="13" t="s">
        <v>46</v>
      </c>
    </row>
    <row r="1026" ht="10.95" customHeight="true" customFormat="true" s="8">
      <c r="A1026" s="12">
        <v>46171</v>
      </c>
      <c r="B1026" s="13" t="s">
        <v>36</v>
      </c>
      <c r="C1026" s="13" t="s">
        <v>1151</v>
      </c>
      <c r="D1026" s="13" t="s">
        <v>1145</v>
      </c>
      <c r="E1026" s="13" t="s">
        <v>16</v>
      </c>
      <c r="F1026" s="14">
        <v>0</v>
      </c>
      <c r="G1026" s="14">
        <v>1162.1400</v>
      </c>
      <c r="H1026" s="14">
        <v>0</v>
      </c>
      <c r="I1026" s="14">
        <v>1162.1400</v>
      </c>
      <c r="J1026" s="13" t="s">
        <v>46</v>
      </c>
    </row>
    <row r="1027" ht="10.95" customHeight="true" customFormat="true" s="8">
      <c r="A1027" s="12">
        <v>46171</v>
      </c>
      <c r="B1027" s="13" t="s">
        <v>36</v>
      </c>
      <c r="C1027" s="13" t="s">
        <v>1152</v>
      </c>
      <c r="D1027" s="13" t="s">
        <v>1145</v>
      </c>
      <c r="E1027" s="13" t="s">
        <v>16</v>
      </c>
      <c r="F1027" s="14">
        <v>0</v>
      </c>
      <c r="G1027" s="14">
        <v>1220.2400</v>
      </c>
      <c r="H1027" s="14">
        <v>0</v>
      </c>
      <c r="I1027" s="14">
        <v>1220.2400</v>
      </c>
      <c r="J1027" s="13" t="s">
        <v>46</v>
      </c>
    </row>
    <row r="1028" ht="10.95" customHeight="true" customFormat="true" s="8">
      <c r="A1028" s="12">
        <v>46171</v>
      </c>
      <c r="B1028" s="13" t="s">
        <v>36</v>
      </c>
      <c r="C1028" s="13" t="s">
        <v>1153</v>
      </c>
      <c r="D1028" s="13" t="s">
        <v>1145</v>
      </c>
      <c r="E1028" s="13" t="s">
        <v>16</v>
      </c>
      <c r="F1028" s="14">
        <v>0</v>
      </c>
      <c r="G1028" s="14">
        <v>174.3200</v>
      </c>
      <c r="H1028" s="14">
        <v>0</v>
      </c>
      <c r="I1028" s="14">
        <v>174.3200</v>
      </c>
      <c r="J1028" s="13" t="s">
        <v>46</v>
      </c>
    </row>
    <row r="1029" ht="10.95" customHeight="true" customFormat="true" s="8">
      <c r="A1029" s="12">
        <v>46171</v>
      </c>
      <c r="B1029" s="13" t="s">
        <v>36</v>
      </c>
      <c r="C1029" s="13" t="s">
        <v>1154</v>
      </c>
      <c r="D1029" s="13" t="s">
        <v>1145</v>
      </c>
      <c r="E1029" s="13" t="s">
        <v>16</v>
      </c>
      <c r="F1029" s="14">
        <v>0</v>
      </c>
      <c r="G1029" s="14">
        <v>679.8500</v>
      </c>
      <c r="H1029" s="14">
        <v>0</v>
      </c>
      <c r="I1029" s="14">
        <v>679.8500</v>
      </c>
      <c r="J1029" s="13" t="s">
        <v>46</v>
      </c>
    </row>
    <row r="1030" ht="10.95" customHeight="true" customFormat="true" s="8">
      <c r="A1030" s="15" t="s">
        <v>1155</v>
      </c>
      <c r="B1030" s="15"/>
      <c r="C1030" s="15"/>
      <c r="D1030" s="15"/>
      <c r="E1030" s="15"/>
      <c r="F1030" s="16">
        <f ca="1">SUM(F1015:F1029)</f>
        <v>0</v>
      </c>
      <c r="G1030" s="16">
        <f ca="1">SUM(G1015:G1029)</f>
        <v>0</v>
      </c>
      <c r="H1030" s="16">
        <f ca="1">SUM(H1015:H1029)</f>
        <v>0</v>
      </c>
      <c r="I1030" s="16">
        <f ca="1">SUM(I1015:I1029)</f>
        <v>0</v>
      </c>
      <c r="J1030" s="15"/>
    </row>
    <row r="1031" ht="13.35" customHeight="true"/>
    <row r="1032" ht="12.1" customHeight="true" customFormat="true" s="5">
      <c r="A1032" s="17" t="s">
        <v>1156</v>
      </c>
      <c r="B1032" s="17"/>
      <c r="C1032" s="17"/>
      <c r="D1032" s="17"/>
      <c r="E1032" s="17"/>
      <c r="F1032" s="17"/>
      <c r="G1032" s="17"/>
      <c r="H1032" s="17"/>
      <c r="I1032" s="17"/>
      <c r="J1032" s="17"/>
    </row>
    <row r="1033" ht="10.95" customHeight="true" customFormat="true" s="8">
      <c r="A1033" s="9">
        <v>45425</v>
      </c>
      <c r="B1033" s="10" t="s">
        <v>36</v>
      </c>
      <c r="C1033" s="10" t="s">
        <v>1157</v>
      </c>
      <c r="D1033" s="10" t="s">
        <v>1158</v>
      </c>
      <c r="E1033" s="10" t="s">
        <v>16</v>
      </c>
      <c r="F1033" s="11">
        <v>0</v>
      </c>
      <c r="G1033" s="11">
        <v>4022.2000</v>
      </c>
      <c r="H1033" s="11">
        <v>0</v>
      </c>
      <c r="I1033" s="11">
        <v>4022.2000</v>
      </c>
      <c r="J1033" s="10" t="s">
        <v>46</v>
      </c>
    </row>
    <row r="1034" ht="10.95" customHeight="true" customFormat="true" s="8">
      <c r="A1034" s="15" t="s">
        <v>1159</v>
      </c>
      <c r="B1034" s="15"/>
      <c r="C1034" s="15"/>
      <c r="D1034" s="15"/>
      <c r="E1034" s="15"/>
      <c r="F1034" s="16">
        <f ca="1">F1033</f>
        <v>0</v>
      </c>
      <c r="G1034" s="16">
        <f ca="1">G1033</f>
        <v>0</v>
      </c>
      <c r="H1034" s="16">
        <f ca="1">H1033</f>
        <v>0</v>
      </c>
      <c r="I1034" s="16">
        <f ca="1">I1033</f>
        <v>0</v>
      </c>
      <c r="J1034" s="15"/>
    </row>
    <row r="1035" ht="13.35" customHeight="true"/>
    <row r="1036" ht="12.1" customHeight="true" customFormat="true" s="5">
      <c r="A1036" s="17" t="s">
        <v>1160</v>
      </c>
      <c r="B1036" s="17"/>
      <c r="C1036" s="17"/>
      <c r="D1036" s="17"/>
      <c r="E1036" s="17"/>
      <c r="F1036" s="17"/>
      <c r="G1036" s="17"/>
      <c r="H1036" s="17"/>
      <c r="I1036" s="17"/>
      <c r="J1036" s="17"/>
    </row>
    <row r="1037" ht="10.95" customHeight="true" customFormat="true" s="8">
      <c r="A1037" s="9">
        <v>45548</v>
      </c>
      <c r="B1037" s="10" t="s">
        <v>36</v>
      </c>
      <c r="C1037" s="10" t="s">
        <v>1161</v>
      </c>
      <c r="D1037" s="10" t="s">
        <v>1162</v>
      </c>
      <c r="E1037" s="10" t="s">
        <v>16</v>
      </c>
      <c r="F1037" s="11">
        <v>0</v>
      </c>
      <c r="G1037" s="11">
        <v>2162.0000</v>
      </c>
      <c r="H1037" s="11">
        <v>0</v>
      </c>
      <c r="I1037" s="11">
        <v>2162.0000</v>
      </c>
      <c r="J1037" s="10" t="s">
        <v>46</v>
      </c>
    </row>
    <row r="1038" ht="10.95" customHeight="true" customFormat="true" s="8">
      <c r="A1038" s="12">
        <v>45548</v>
      </c>
      <c r="B1038" s="13" t="s">
        <v>36</v>
      </c>
      <c r="C1038" s="13" t="s">
        <v>1163</v>
      </c>
      <c r="D1038" s="13" t="s">
        <v>1162</v>
      </c>
      <c r="E1038" s="13" t="s">
        <v>16</v>
      </c>
      <c r="F1038" s="14">
        <v>0</v>
      </c>
      <c r="G1038" s="14">
        <v>1715.0000</v>
      </c>
      <c r="H1038" s="14">
        <v>0</v>
      </c>
      <c r="I1038" s="14">
        <v>1715.0000</v>
      </c>
      <c r="J1038" s="13" t="s">
        <v>46</v>
      </c>
    </row>
    <row r="1039" ht="10.95" customHeight="true" customFormat="true" s="8">
      <c r="A1039" s="12">
        <v>45575</v>
      </c>
      <c r="B1039" s="13" t="s">
        <v>36</v>
      </c>
      <c r="C1039" s="13" t="s">
        <v>1164</v>
      </c>
      <c r="D1039" s="13" t="s">
        <v>1165</v>
      </c>
      <c r="E1039" s="13" t="s">
        <v>16</v>
      </c>
      <c r="F1039" s="14">
        <v>0</v>
      </c>
      <c r="G1039" s="14">
        <v>280.0000</v>
      </c>
      <c r="H1039" s="14">
        <v>0</v>
      </c>
      <c r="I1039" s="14">
        <v>280.0000</v>
      </c>
      <c r="J1039" s="13" t="s">
        <v>46</v>
      </c>
    </row>
    <row r="1040" ht="10.95" customHeight="true" customFormat="true" s="8">
      <c r="A1040" s="12">
        <v>45818</v>
      </c>
      <c r="B1040" s="13" t="s">
        <v>36</v>
      </c>
      <c r="C1040" s="13" t="s">
        <v>1166</v>
      </c>
      <c r="D1040" s="13" t="s">
        <v>1167</v>
      </c>
      <c r="E1040" s="13" t="s">
        <v>16</v>
      </c>
      <c r="F1040" s="14">
        <v>0</v>
      </c>
      <c r="G1040" s="14">
        <v>113240.0000</v>
      </c>
      <c r="H1040" s="14">
        <v>0</v>
      </c>
      <c r="I1040" s="14">
        <v>113240.0000</v>
      </c>
      <c r="J1040" s="13" t="s">
        <v>1168</v>
      </c>
    </row>
    <row r="1041" ht="10.95" customHeight="true" customFormat="true" s="8">
      <c r="A1041" s="12">
        <v>45818</v>
      </c>
      <c r="B1041" s="13" t="s">
        <v>36</v>
      </c>
      <c r="C1041" s="13" t="s">
        <v>1169</v>
      </c>
      <c r="D1041" s="13" t="s">
        <v>1167</v>
      </c>
      <c r="E1041" s="13" t="s">
        <v>16</v>
      </c>
      <c r="F1041" s="14">
        <v>0</v>
      </c>
      <c r="G1041" s="14">
        <v>9150.0000</v>
      </c>
      <c r="H1041" s="14">
        <v>0</v>
      </c>
      <c r="I1041" s="14">
        <v>9150.0000</v>
      </c>
      <c r="J1041" s="13" t="s">
        <v>1168</v>
      </c>
    </row>
    <row r="1042" ht="10.95" customHeight="true" customFormat="true" s="8">
      <c r="A1042" s="12">
        <v>45818</v>
      </c>
      <c r="B1042" s="13" t="s">
        <v>36</v>
      </c>
      <c r="C1042" s="13" t="s">
        <v>1170</v>
      </c>
      <c r="D1042" s="13" t="s">
        <v>1167</v>
      </c>
      <c r="E1042" s="13" t="s">
        <v>16</v>
      </c>
      <c r="F1042" s="14">
        <v>0</v>
      </c>
      <c r="G1042" s="14">
        <v>3791.0800</v>
      </c>
      <c r="H1042" s="14">
        <v>0</v>
      </c>
      <c r="I1042" s="14">
        <v>3791.0800</v>
      </c>
      <c r="J1042" s="13" t="s">
        <v>125</v>
      </c>
    </row>
    <row r="1043" ht="10.95" customHeight="true" customFormat="true" s="8">
      <c r="A1043" s="12">
        <v>45818</v>
      </c>
      <c r="B1043" s="13" t="s">
        <v>36</v>
      </c>
      <c r="C1043" s="13" t="s">
        <v>1171</v>
      </c>
      <c r="D1043" s="13" t="s">
        <v>1167</v>
      </c>
      <c r="E1043" s="13" t="s">
        <v>16</v>
      </c>
      <c r="F1043" s="14">
        <v>0</v>
      </c>
      <c r="G1043" s="14">
        <v>8612.5000</v>
      </c>
      <c r="H1043" s="14">
        <v>0</v>
      </c>
      <c r="I1043" s="14">
        <v>8612.5000</v>
      </c>
      <c r="J1043" s="13" t="s">
        <v>18</v>
      </c>
    </row>
    <row r="1044" ht="10.95" customHeight="true" customFormat="true" s="8">
      <c r="A1044" s="15" t="s">
        <v>1172</v>
      </c>
      <c r="B1044" s="15"/>
      <c r="C1044" s="15"/>
      <c r="D1044" s="15"/>
      <c r="E1044" s="15"/>
      <c r="F1044" s="16">
        <f ca="1">SUM(F1037:F1043)</f>
        <v>0</v>
      </c>
      <c r="G1044" s="16">
        <f ca="1">SUM(G1037:G1043)</f>
        <v>0</v>
      </c>
      <c r="H1044" s="16">
        <f ca="1">SUM(H1037:H1043)</f>
        <v>0</v>
      </c>
      <c r="I1044" s="16">
        <f ca="1">SUM(I1037:I1043)</f>
        <v>0</v>
      </c>
      <c r="J1044" s="15"/>
    </row>
    <row r="1045" ht="13.35" customHeight="true"/>
    <row r="1046" ht="12.1" customHeight="true" customFormat="true" s="5">
      <c r="A1046" s="17" t="s">
        <v>1173</v>
      </c>
      <c r="B1046" s="17"/>
      <c r="C1046" s="17"/>
      <c r="D1046" s="17"/>
      <c r="E1046" s="17"/>
      <c r="F1046" s="17"/>
      <c r="G1046" s="17"/>
      <c r="H1046" s="17"/>
      <c r="I1046" s="17"/>
      <c r="J1046" s="17"/>
    </row>
    <row r="1047" ht="10.95" customHeight="true" customFormat="true" s="8">
      <c r="A1047" s="9">
        <v>45750</v>
      </c>
      <c r="B1047" s="10" t="s">
        <v>36</v>
      </c>
      <c r="C1047" s="10" t="s">
        <v>1174</v>
      </c>
      <c r="D1047" s="10" t="s">
        <v>1175</v>
      </c>
      <c r="E1047" s="10" t="s">
        <v>16</v>
      </c>
      <c r="F1047" s="11">
        <v>0</v>
      </c>
      <c r="G1047" s="11">
        <v>16175.2400</v>
      </c>
      <c r="H1047" s="11">
        <v>0</v>
      </c>
      <c r="I1047" s="11">
        <v>16175.2400</v>
      </c>
      <c r="J1047" s="10" t="s">
        <v>1168</v>
      </c>
    </row>
    <row r="1048" ht="10.95" customHeight="true" customFormat="true" s="8">
      <c r="A1048" s="15" t="s">
        <v>1176</v>
      </c>
      <c r="B1048" s="15"/>
      <c r="C1048" s="15"/>
      <c r="D1048" s="15"/>
      <c r="E1048" s="15"/>
      <c r="F1048" s="16">
        <f ca="1">F1047</f>
        <v>0</v>
      </c>
      <c r="G1048" s="16">
        <f ca="1">G1047</f>
        <v>0</v>
      </c>
      <c r="H1048" s="16">
        <f ca="1">H1047</f>
        <v>0</v>
      </c>
      <c r="I1048" s="16">
        <f ca="1">I1047</f>
        <v>0</v>
      </c>
      <c r="J1048" s="15"/>
    </row>
    <row r="1049" ht="13.35" customHeight="true"/>
    <row r="1050" ht="12.1" customHeight="true" customFormat="true" s="5">
      <c r="A1050" s="17" t="s">
        <v>1177</v>
      </c>
      <c r="B1050" s="17"/>
      <c r="C1050" s="17"/>
      <c r="D1050" s="17"/>
      <c r="E1050" s="17"/>
      <c r="F1050" s="17"/>
      <c r="G1050" s="17"/>
      <c r="H1050" s="17"/>
      <c r="I1050" s="17"/>
      <c r="J1050" s="17"/>
    </row>
    <row r="1051" ht="10.95" customHeight="true" customFormat="true" s="8">
      <c r="A1051" s="9">
        <v>46058</v>
      </c>
      <c r="B1051" s="10" t="s">
        <v>36</v>
      </c>
      <c r="C1051" s="10" t="s">
        <v>1178</v>
      </c>
      <c r="D1051" s="10" t="s">
        <v>1179</v>
      </c>
      <c r="E1051" s="10" t="s">
        <v>16</v>
      </c>
      <c r="F1051" s="11">
        <v>0</v>
      </c>
      <c r="G1051" s="11">
        <v>244.8000</v>
      </c>
      <c r="H1051" s="11">
        <v>0</v>
      </c>
      <c r="I1051" s="11">
        <v>244.8000</v>
      </c>
      <c r="J1051" s="10" t="s">
        <v>46</v>
      </c>
    </row>
    <row r="1052" ht="10.95" customHeight="true" customFormat="true" s="8">
      <c r="A1052" s="15" t="s">
        <v>1180</v>
      </c>
      <c r="B1052" s="15"/>
      <c r="C1052" s="15"/>
      <c r="D1052" s="15"/>
      <c r="E1052" s="15"/>
      <c r="F1052" s="16">
        <f ca="1">F1051</f>
        <v>0</v>
      </c>
      <c r="G1052" s="16">
        <f ca="1">G1051</f>
        <v>0</v>
      </c>
      <c r="H1052" s="16">
        <f ca="1">H1051</f>
        <v>0</v>
      </c>
      <c r="I1052" s="16">
        <f ca="1">I1051</f>
        <v>0</v>
      </c>
      <c r="J1052" s="15"/>
    </row>
    <row r="1053" ht="13.35" customHeight="true"/>
    <row r="1054" ht="12.1" customHeight="true" customFormat="true" s="5">
      <c r="A1054" s="17" t="s">
        <v>1181</v>
      </c>
      <c r="B1054" s="17"/>
      <c r="C1054" s="17"/>
      <c r="D1054" s="17"/>
      <c r="E1054" s="17"/>
      <c r="F1054" s="17"/>
      <c r="G1054" s="17"/>
      <c r="H1054" s="17"/>
      <c r="I1054" s="17"/>
      <c r="J1054" s="17"/>
    </row>
    <row r="1055" ht="10.95" customHeight="true" customFormat="true" s="8">
      <c r="A1055" s="9">
        <v>46205</v>
      </c>
      <c r="B1055" s="10" t="s">
        <v>36</v>
      </c>
      <c r="C1055" s="10" t="s">
        <v>1182</v>
      </c>
      <c r="D1055" s="10" t="s">
        <v>1183</v>
      </c>
      <c r="E1055" s="10" t="s">
        <v>16</v>
      </c>
      <c r="F1055" s="11">
        <v>0</v>
      </c>
      <c r="G1055" s="11">
        <v>5000.0000</v>
      </c>
      <c r="H1055" s="11">
        <v>0</v>
      </c>
      <c r="I1055" s="11">
        <v>5000.0000</v>
      </c>
      <c r="J1055" s="10" t="s">
        <v>46</v>
      </c>
    </row>
    <row r="1056" ht="10.95" customHeight="true" customFormat="true" s="8">
      <c r="A1056" s="15" t="s">
        <v>1184</v>
      </c>
      <c r="B1056" s="15"/>
      <c r="C1056" s="15"/>
      <c r="D1056" s="15"/>
      <c r="E1056" s="15"/>
      <c r="F1056" s="16">
        <f ca="1">F1055</f>
        <v>0</v>
      </c>
      <c r="G1056" s="16">
        <f ca="1">G1055</f>
        <v>0</v>
      </c>
      <c r="H1056" s="16">
        <f ca="1">H1055</f>
        <v>0</v>
      </c>
      <c r="I1056" s="16">
        <f ca="1">I1055</f>
        <v>0</v>
      </c>
      <c r="J1056" s="15"/>
    </row>
    <row r="1057" ht="13.35" customHeight="true"/>
    <row r="1058" ht="12.1" customHeight="true" customFormat="true" s="5">
      <c r="A1058" s="17" t="s">
        <v>1185</v>
      </c>
      <c r="B1058" s="17"/>
      <c r="C1058" s="17"/>
      <c r="D1058" s="17"/>
      <c r="E1058" s="17"/>
      <c r="F1058" s="17"/>
      <c r="G1058" s="17"/>
      <c r="H1058" s="17"/>
      <c r="I1058" s="17"/>
      <c r="J1058" s="17"/>
    </row>
    <row r="1059" ht="10.95" customHeight="true" customFormat="true" s="8">
      <c r="A1059" s="9">
        <v>45685</v>
      </c>
      <c r="B1059" s="10" t="s">
        <v>36</v>
      </c>
      <c r="C1059" s="10" t="s">
        <v>1186</v>
      </c>
      <c r="D1059" s="10" t="s">
        <v>1187</v>
      </c>
      <c r="E1059" s="10" t="s">
        <v>16</v>
      </c>
      <c r="F1059" s="11">
        <v>0</v>
      </c>
      <c r="G1059" s="11">
        <v>1170.0000</v>
      </c>
      <c r="H1059" s="11">
        <v>0</v>
      </c>
      <c r="I1059" s="11">
        <v>1170.0000</v>
      </c>
      <c r="J1059" s="10" t="s">
        <v>46</v>
      </c>
    </row>
    <row r="1060" ht="10.95" customHeight="true" customFormat="true" s="8">
      <c r="A1060" s="12">
        <v>45685</v>
      </c>
      <c r="B1060" s="13" t="s">
        <v>36</v>
      </c>
      <c r="C1060" s="13" t="s">
        <v>1188</v>
      </c>
      <c r="D1060" s="13" t="s">
        <v>1187</v>
      </c>
      <c r="E1060" s="13" t="s">
        <v>16</v>
      </c>
      <c r="F1060" s="14">
        <v>0</v>
      </c>
      <c r="G1060" s="14">
        <v>390.0000</v>
      </c>
      <c r="H1060" s="14">
        <v>0</v>
      </c>
      <c r="I1060" s="14">
        <v>390.0000</v>
      </c>
      <c r="J1060" s="13" t="s">
        <v>46</v>
      </c>
    </row>
    <row r="1061" ht="10.95" customHeight="true" customFormat="true" s="8">
      <c r="A1061" s="15" t="s">
        <v>1189</v>
      </c>
      <c r="B1061" s="15"/>
      <c r="C1061" s="15"/>
      <c r="D1061" s="15"/>
      <c r="E1061" s="15"/>
      <c r="F1061" s="16">
        <f ca="1">SUM(F1059:F1060)</f>
        <v>0</v>
      </c>
      <c r="G1061" s="16">
        <f ca="1">SUM(G1059:G1060)</f>
        <v>0</v>
      </c>
      <c r="H1061" s="16">
        <f ca="1">SUM(H1059:H1060)</f>
        <v>0</v>
      </c>
      <c r="I1061" s="16">
        <f ca="1">SUM(I1059:I1060)</f>
        <v>0</v>
      </c>
      <c r="J1061" s="15"/>
    </row>
    <row r="1062" ht="13.35" customHeight="true"/>
    <row r="1063" ht="12.1" customHeight="true" customFormat="true" s="5">
      <c r="A1063" s="17" t="s">
        <v>1190</v>
      </c>
      <c r="B1063" s="17"/>
      <c r="C1063" s="17"/>
      <c r="D1063" s="17"/>
      <c r="E1063" s="17"/>
      <c r="F1063" s="17"/>
      <c r="G1063" s="17"/>
      <c r="H1063" s="17"/>
      <c r="I1063" s="17"/>
      <c r="J1063" s="17"/>
    </row>
    <row r="1064" ht="10.95" customHeight="true" customFormat="true" s="8">
      <c r="A1064" s="9">
        <v>46153</v>
      </c>
      <c r="B1064" s="10" t="s">
        <v>36</v>
      </c>
      <c r="C1064" s="10" t="s">
        <v>1191</v>
      </c>
      <c r="D1064" s="10" t="s">
        <v>1192</v>
      </c>
      <c r="E1064" s="10" t="s">
        <v>16</v>
      </c>
      <c r="F1064" s="11">
        <v>0</v>
      </c>
      <c r="G1064" s="11">
        <v>390.0000</v>
      </c>
      <c r="H1064" s="11">
        <v>0</v>
      </c>
      <c r="I1064" s="11">
        <v>390.0000</v>
      </c>
      <c r="J1064" s="10" t="s">
        <v>46</v>
      </c>
    </row>
    <row r="1065" ht="10.95" customHeight="true" customFormat="true" s="8">
      <c r="A1065" s="15" t="s">
        <v>1193</v>
      </c>
      <c r="B1065" s="15"/>
      <c r="C1065" s="15"/>
      <c r="D1065" s="15"/>
      <c r="E1065" s="15"/>
      <c r="F1065" s="16">
        <f ca="1">F1064</f>
        <v>0</v>
      </c>
      <c r="G1065" s="16">
        <f ca="1">G1064</f>
        <v>0</v>
      </c>
      <c r="H1065" s="16">
        <f ca="1">H1064</f>
        <v>0</v>
      </c>
      <c r="I1065" s="16">
        <f ca="1">I1064</f>
        <v>0</v>
      </c>
      <c r="J1065" s="15"/>
    </row>
    <row r="1066" ht="13.35" customHeight="true"/>
    <row r="1067" ht="12.1" customHeight="true" customFormat="true" s="5">
      <c r="A1067" s="17" t="s">
        <v>1194</v>
      </c>
      <c r="B1067" s="17"/>
      <c r="C1067" s="17"/>
      <c r="D1067" s="17"/>
      <c r="E1067" s="17"/>
      <c r="F1067" s="17"/>
      <c r="G1067" s="17"/>
      <c r="H1067" s="17"/>
      <c r="I1067" s="17"/>
      <c r="J1067" s="17"/>
    </row>
    <row r="1068" ht="10.95" customHeight="true" customFormat="true" s="8">
      <c r="A1068" s="9">
        <v>45796</v>
      </c>
      <c r="B1068" s="10" t="s">
        <v>36</v>
      </c>
      <c r="C1068" s="10" t="s">
        <v>1195</v>
      </c>
      <c r="D1068" s="10" t="s">
        <v>1196</v>
      </c>
      <c r="E1068" s="10" t="s">
        <v>16</v>
      </c>
      <c r="F1068" s="11">
        <v>0</v>
      </c>
      <c r="G1068" s="11">
        <v>745.4200</v>
      </c>
      <c r="H1068" s="11">
        <v>0</v>
      </c>
      <c r="I1068" s="11">
        <v>745.4200</v>
      </c>
      <c r="J1068" s="10" t="s">
        <v>317</v>
      </c>
    </row>
    <row r="1069" ht="10.95" customHeight="true" customFormat="true" s="8">
      <c r="A1069" s="12">
        <v>45796</v>
      </c>
      <c r="B1069" s="13" t="s">
        <v>36</v>
      </c>
      <c r="C1069" s="13" t="s">
        <v>1197</v>
      </c>
      <c r="D1069" s="13" t="s">
        <v>1196</v>
      </c>
      <c r="E1069" s="13" t="s">
        <v>16</v>
      </c>
      <c r="F1069" s="14">
        <v>0</v>
      </c>
      <c r="G1069" s="14">
        <v>2086.9200</v>
      </c>
      <c r="H1069" s="14">
        <v>0</v>
      </c>
      <c r="I1069" s="14">
        <v>2086.9200</v>
      </c>
      <c r="J1069" s="13" t="s">
        <v>317</v>
      </c>
    </row>
    <row r="1070" ht="10.95" customHeight="true" customFormat="true" s="8">
      <c r="A1070" s="12">
        <v>45796</v>
      </c>
      <c r="B1070" s="13" t="s">
        <v>36</v>
      </c>
      <c r="C1070" s="13" t="s">
        <v>1198</v>
      </c>
      <c r="D1070" s="13" t="s">
        <v>1196</v>
      </c>
      <c r="E1070" s="13" t="s">
        <v>16</v>
      </c>
      <c r="F1070" s="14">
        <v>0</v>
      </c>
      <c r="G1070" s="14">
        <v>3962.1000</v>
      </c>
      <c r="H1070" s="14">
        <v>0</v>
      </c>
      <c r="I1070" s="14">
        <v>3962.1000</v>
      </c>
      <c r="J1070" s="13" t="s">
        <v>18</v>
      </c>
    </row>
    <row r="1071" ht="10.95" customHeight="true" customFormat="true" s="8">
      <c r="A1071" s="15" t="s">
        <v>1199</v>
      </c>
      <c r="B1071" s="15"/>
      <c r="C1071" s="15"/>
      <c r="D1071" s="15"/>
      <c r="E1071" s="15"/>
      <c r="F1071" s="16">
        <f ca="1">SUM(F1068:F1070)</f>
        <v>0</v>
      </c>
      <c r="G1071" s="16">
        <f ca="1">SUM(G1068:G1070)</f>
        <v>0</v>
      </c>
      <c r="H1071" s="16">
        <f ca="1">SUM(H1068:H1070)</f>
        <v>0</v>
      </c>
      <c r="I1071" s="16">
        <f ca="1">SUM(I1068:I1070)</f>
        <v>0</v>
      </c>
      <c r="J1071" s="15"/>
    </row>
    <row r="1072" ht="13.35" customHeight="true"/>
    <row r="1073" ht="12.1" customHeight="true" customFormat="true" s="5">
      <c r="A1073" s="17" t="s">
        <v>1200</v>
      </c>
      <c r="B1073" s="17"/>
      <c r="C1073" s="17"/>
      <c r="D1073" s="17"/>
      <c r="E1073" s="17"/>
      <c r="F1073" s="17"/>
      <c r="G1073" s="17"/>
      <c r="H1073" s="17"/>
      <c r="I1073" s="17"/>
      <c r="J1073" s="17"/>
    </row>
    <row r="1074" ht="10.95" customHeight="true" customFormat="true" s="8">
      <c r="A1074" s="9">
        <v>46083</v>
      </c>
      <c r="B1074" s="10" t="s">
        <v>36</v>
      </c>
      <c r="C1074" s="10" t="s">
        <v>1201</v>
      </c>
      <c r="D1074" s="10" t="s">
        <v>1202</v>
      </c>
      <c r="E1074" s="10" t="s">
        <v>16</v>
      </c>
      <c r="F1074" s="11">
        <v>0</v>
      </c>
      <c r="G1074" s="11">
        <v>3200.0000</v>
      </c>
      <c r="H1074" s="11">
        <v>0</v>
      </c>
      <c r="I1074" s="11">
        <v>3200.0000</v>
      </c>
      <c r="J1074" s="10" t="s">
        <v>46</v>
      </c>
    </row>
    <row r="1075" ht="10.95" customHeight="true" customFormat="true" s="8">
      <c r="A1075" s="15" t="s">
        <v>1203</v>
      </c>
      <c r="B1075" s="15"/>
      <c r="C1075" s="15"/>
      <c r="D1075" s="15"/>
      <c r="E1075" s="15"/>
      <c r="F1075" s="16">
        <f ca="1">F1074</f>
        <v>0</v>
      </c>
      <c r="G1075" s="16">
        <f ca="1">G1074</f>
        <v>0</v>
      </c>
      <c r="H1075" s="16">
        <f ca="1">H1074</f>
        <v>0</v>
      </c>
      <c r="I1075" s="16">
        <f ca="1">I1074</f>
        <v>0</v>
      </c>
      <c r="J1075" s="15"/>
    </row>
    <row r="1076" ht="13.35" customHeight="true"/>
    <row r="1077" ht="12.1" customHeight="true" customFormat="true" s="5">
      <c r="A1077" s="17" t="s">
        <v>1204</v>
      </c>
      <c r="B1077" s="17"/>
      <c r="C1077" s="17"/>
      <c r="D1077" s="17"/>
      <c r="E1077" s="17"/>
      <c r="F1077" s="17"/>
      <c r="G1077" s="17"/>
      <c r="H1077" s="17"/>
      <c r="I1077" s="17"/>
      <c r="J1077" s="17"/>
    </row>
    <row r="1078" ht="52.35" customHeight="true" customFormat="true" s="8">
      <c r="A1078" s="9">
        <v>45243</v>
      </c>
      <c r="B1078" s="10" t="s">
        <v>36</v>
      </c>
      <c r="C1078" s="18" t="s">
        <v>1205</v>
      </c>
      <c r="D1078" s="10" t="s">
        <v>1206</v>
      </c>
      <c r="E1078" s="10" t="s">
        <v>16</v>
      </c>
      <c r="F1078" s="11">
        <v>0</v>
      </c>
      <c r="G1078" s="11">
        <v>1920.0000</v>
      </c>
      <c r="H1078" s="11">
        <v>0</v>
      </c>
      <c r="I1078" s="11">
        <v>1920.0000</v>
      </c>
      <c r="J1078" s="10" t="s">
        <v>1207</v>
      </c>
    </row>
    <row r="1079" ht="10.95" customHeight="true" customFormat="true" s="8">
      <c r="A1079" s="15" t="s">
        <v>1208</v>
      </c>
      <c r="B1079" s="15"/>
      <c r="C1079" s="15"/>
      <c r="D1079" s="15"/>
      <c r="E1079" s="15"/>
      <c r="F1079" s="16">
        <f ca="1">F1078</f>
        <v>0</v>
      </c>
      <c r="G1079" s="16">
        <f ca="1">G1078</f>
        <v>0</v>
      </c>
      <c r="H1079" s="16">
        <f ca="1">H1078</f>
        <v>0</v>
      </c>
      <c r="I1079" s="16">
        <f ca="1">I1078</f>
        <v>0</v>
      </c>
      <c r="J1079" s="15"/>
    </row>
    <row r="1080" ht="13.35" customHeight="true"/>
    <row r="1081" ht="12.1" customHeight="true" customFormat="true" s="5">
      <c r="A1081" s="17" t="s">
        <v>1209</v>
      </c>
      <c r="B1081" s="17"/>
      <c r="C1081" s="17"/>
      <c r="D1081" s="17"/>
      <c r="E1081" s="17"/>
      <c r="F1081" s="17"/>
      <c r="G1081" s="17"/>
      <c r="H1081" s="17"/>
      <c r="I1081" s="17"/>
      <c r="J1081" s="17"/>
    </row>
    <row r="1082" ht="10.95" customHeight="true" customFormat="true" s="8">
      <c r="A1082" s="9">
        <v>45846</v>
      </c>
      <c r="B1082" s="10" t="s">
        <v>36</v>
      </c>
      <c r="C1082" s="10" t="s">
        <v>1210</v>
      </c>
      <c r="D1082" s="10" t="s">
        <v>1211</v>
      </c>
      <c r="E1082" s="10" t="s">
        <v>16</v>
      </c>
      <c r="F1082" s="11">
        <v>0</v>
      </c>
      <c r="G1082" s="11">
        <v>244.3800</v>
      </c>
      <c r="H1082" s="11">
        <v>0</v>
      </c>
      <c r="I1082" s="11">
        <v>244.3800</v>
      </c>
      <c r="J1082" s="10" t="s">
        <v>46</v>
      </c>
    </row>
    <row r="1083" ht="10.95" customHeight="true" customFormat="true" s="8">
      <c r="A1083" s="12">
        <v>45846</v>
      </c>
      <c r="B1083" s="13" t="s">
        <v>36</v>
      </c>
      <c r="C1083" s="13" t="s">
        <v>1212</v>
      </c>
      <c r="D1083" s="13" t="s">
        <v>1211</v>
      </c>
      <c r="E1083" s="13" t="s">
        <v>16</v>
      </c>
      <c r="F1083" s="14">
        <v>0</v>
      </c>
      <c r="G1083" s="14">
        <v>305.7800</v>
      </c>
      <c r="H1083" s="14">
        <v>0</v>
      </c>
      <c r="I1083" s="14">
        <v>305.7800</v>
      </c>
      <c r="J1083" s="13" t="s">
        <v>46</v>
      </c>
    </row>
    <row r="1084" ht="10.95" customHeight="true" customFormat="true" s="8">
      <c r="A1084" s="12">
        <v>46147</v>
      </c>
      <c r="B1084" s="13" t="s">
        <v>36</v>
      </c>
      <c r="C1084" s="13" t="s">
        <v>1213</v>
      </c>
      <c r="D1084" s="13" t="s">
        <v>1214</v>
      </c>
      <c r="E1084" s="13" t="s">
        <v>16</v>
      </c>
      <c r="F1084" s="14">
        <v>0</v>
      </c>
      <c r="G1084" s="14">
        <v>600.6500</v>
      </c>
      <c r="H1084" s="14">
        <v>0</v>
      </c>
      <c r="I1084" s="14">
        <v>600.6500</v>
      </c>
      <c r="J1084" s="13" t="s">
        <v>46</v>
      </c>
    </row>
    <row r="1085" ht="10.95" customHeight="true" customFormat="true" s="8">
      <c r="A1085" s="15" t="s">
        <v>1215</v>
      </c>
      <c r="B1085" s="15"/>
      <c r="C1085" s="15"/>
      <c r="D1085" s="15"/>
      <c r="E1085" s="15"/>
      <c r="F1085" s="16">
        <f ca="1">SUM(F1082:F1084)</f>
        <v>0</v>
      </c>
      <c r="G1085" s="16">
        <f ca="1">SUM(G1082:G1084)</f>
        <v>0</v>
      </c>
      <c r="H1085" s="16">
        <f ca="1">SUM(H1082:H1084)</f>
        <v>0</v>
      </c>
      <c r="I1085" s="16">
        <f ca="1">SUM(I1082:I1084)</f>
        <v>0</v>
      </c>
      <c r="J1085" s="15"/>
    </row>
    <row r="1086" ht="13.35" customHeight="true"/>
    <row r="1087" ht="12.1" customHeight="true" customFormat="true" s="5">
      <c r="A1087" s="17" t="s">
        <v>1216</v>
      </c>
      <c r="B1087" s="17"/>
      <c r="C1087" s="17"/>
      <c r="D1087" s="17"/>
      <c r="E1087" s="17"/>
      <c r="F1087" s="17"/>
      <c r="G1087" s="17"/>
      <c r="H1087" s="17"/>
      <c r="I1087" s="17"/>
      <c r="J1087" s="17"/>
    </row>
    <row r="1088" ht="10.95" customHeight="true" customFormat="true" s="8">
      <c r="A1088" s="9">
        <v>45736</v>
      </c>
      <c r="B1088" s="10" t="s">
        <v>36</v>
      </c>
      <c r="C1088" s="10" t="s">
        <v>1217</v>
      </c>
      <c r="D1088" s="10" t="s">
        <v>1218</v>
      </c>
      <c r="E1088" s="10" t="s">
        <v>16</v>
      </c>
      <c r="F1088" s="11">
        <v>0</v>
      </c>
      <c r="G1088" s="11">
        <v>1863.3200</v>
      </c>
      <c r="H1088" s="11">
        <v>0</v>
      </c>
      <c r="I1088" s="11">
        <v>1863.3200</v>
      </c>
      <c r="J1088" s="10" t="s">
        <v>18</v>
      </c>
    </row>
    <row r="1089" ht="10.95" customHeight="true" customFormat="true" s="8">
      <c r="A1089" s="15" t="s">
        <v>1219</v>
      </c>
      <c r="B1089" s="15"/>
      <c r="C1089" s="15"/>
      <c r="D1089" s="15"/>
      <c r="E1089" s="15"/>
      <c r="F1089" s="16">
        <f ca="1">F1088</f>
        <v>0</v>
      </c>
      <c r="G1089" s="16">
        <f ca="1">G1088</f>
        <v>0</v>
      </c>
      <c r="H1089" s="16">
        <f ca="1">H1088</f>
        <v>0</v>
      </c>
      <c r="I1089" s="16">
        <f ca="1">I1088</f>
        <v>0</v>
      </c>
      <c r="J1089" s="15"/>
    </row>
    <row r="1090" ht="13.35" customHeight="true"/>
    <row r="1091" ht="12.1" customHeight="true" customFormat="true" s="5">
      <c r="A1091" s="17" t="s">
        <v>1220</v>
      </c>
      <c r="B1091" s="17"/>
      <c r="C1091" s="17"/>
      <c r="D1091" s="17"/>
      <c r="E1091" s="17"/>
      <c r="F1091" s="17"/>
      <c r="G1091" s="17"/>
      <c r="H1091" s="17"/>
      <c r="I1091" s="17"/>
      <c r="J1091" s="17"/>
    </row>
    <row r="1092" ht="10.95" customHeight="true" customFormat="true" s="8">
      <c r="A1092" s="9">
        <v>45924</v>
      </c>
      <c r="B1092" s="10" t="s">
        <v>36</v>
      </c>
      <c r="C1092" s="10" t="s">
        <v>1221</v>
      </c>
      <c r="D1092" s="10" t="s">
        <v>1222</v>
      </c>
      <c r="E1092" s="10" t="s">
        <v>16</v>
      </c>
      <c r="F1092" s="11">
        <v>0</v>
      </c>
      <c r="G1092" s="11">
        <v>5163.7500</v>
      </c>
      <c r="H1092" s="11">
        <v>0</v>
      </c>
      <c r="I1092" s="11">
        <v>5163.7500</v>
      </c>
      <c r="J1092" s="10" t="s">
        <v>46</v>
      </c>
    </row>
    <row r="1093" ht="10.95" customHeight="true" customFormat="true" s="8">
      <c r="A1093" s="15" t="s">
        <v>1223</v>
      </c>
      <c r="B1093" s="15"/>
      <c r="C1093" s="15"/>
      <c r="D1093" s="15"/>
      <c r="E1093" s="15"/>
      <c r="F1093" s="16">
        <f ca="1">F1092</f>
        <v>0</v>
      </c>
      <c r="G1093" s="16">
        <f ca="1">G1092</f>
        <v>0</v>
      </c>
      <c r="H1093" s="16">
        <f ca="1">H1092</f>
        <v>0</v>
      </c>
      <c r="I1093" s="16">
        <f ca="1">I1092</f>
        <v>0</v>
      </c>
      <c r="J1093" s="15"/>
    </row>
    <row r="1094" ht="13.35" customHeight="true"/>
    <row r="1095" ht="12.1" customHeight="true" customFormat="true" s="5">
      <c r="A1095" s="17" t="s">
        <v>1224</v>
      </c>
      <c r="B1095" s="17"/>
      <c r="C1095" s="17"/>
      <c r="D1095" s="17"/>
      <c r="E1095" s="17"/>
      <c r="F1095" s="17"/>
      <c r="G1095" s="17"/>
      <c r="H1095" s="17"/>
      <c r="I1095" s="17"/>
      <c r="J1095" s="17"/>
    </row>
    <row r="1096" ht="10.95" customHeight="true" customFormat="true" s="8">
      <c r="A1096" s="9">
        <v>45896</v>
      </c>
      <c r="B1096" s="10" t="s">
        <v>36</v>
      </c>
      <c r="C1096" s="10" t="s">
        <v>1225</v>
      </c>
      <c r="D1096" s="10" t="s">
        <v>1226</v>
      </c>
      <c r="E1096" s="10" t="s">
        <v>16</v>
      </c>
      <c r="F1096" s="11">
        <v>0</v>
      </c>
      <c r="G1096" s="11">
        <v>296.0300</v>
      </c>
      <c r="H1096" s="11">
        <v>0</v>
      </c>
      <c r="I1096" s="11">
        <v>296.0300</v>
      </c>
      <c r="J1096" s="10" t="s">
        <v>46</v>
      </c>
    </row>
    <row r="1097" ht="10.95" customHeight="true" customFormat="true" s="8">
      <c r="A1097" s="12">
        <v>45959</v>
      </c>
      <c r="B1097" s="13" t="s">
        <v>36</v>
      </c>
      <c r="C1097" s="13" t="s">
        <v>1225</v>
      </c>
      <c r="D1097" s="13" t="s">
        <v>1227</v>
      </c>
      <c r="E1097" s="13" t="s">
        <v>16</v>
      </c>
      <c r="F1097" s="14">
        <v>0</v>
      </c>
      <c r="G1097" s="14">
        <v>295.8900</v>
      </c>
      <c r="H1097" s="14">
        <v>0</v>
      </c>
      <c r="I1097" s="14">
        <v>295.8900</v>
      </c>
      <c r="J1097" s="13" t="s">
        <v>46</v>
      </c>
    </row>
    <row r="1098" ht="10.95" customHeight="true" customFormat="true" s="8">
      <c r="A1098" s="15" t="s">
        <v>1228</v>
      </c>
      <c r="B1098" s="15"/>
      <c r="C1098" s="15"/>
      <c r="D1098" s="15"/>
      <c r="E1098" s="15"/>
      <c r="F1098" s="16">
        <f ca="1">SUM(F1096:F1097)</f>
        <v>0</v>
      </c>
      <c r="G1098" s="16">
        <f ca="1">SUM(G1096:G1097)</f>
        <v>0</v>
      </c>
      <c r="H1098" s="16">
        <f ca="1">SUM(H1096:H1097)</f>
        <v>0</v>
      </c>
      <c r="I1098" s="16">
        <f ca="1">SUM(I1096:I1097)</f>
        <v>0</v>
      </c>
      <c r="J1098" s="15"/>
    </row>
    <row r="1099" ht="13.35" customHeight="true"/>
    <row r="1100" ht="12.1" customHeight="true" customFormat="true" s="5">
      <c r="A1100" s="17" t="s">
        <v>1229</v>
      </c>
      <c r="B1100" s="17"/>
      <c r="C1100" s="17"/>
      <c r="D1100" s="17"/>
      <c r="E1100" s="17"/>
      <c r="F1100" s="17"/>
      <c r="G1100" s="17"/>
      <c r="H1100" s="17"/>
      <c r="I1100" s="17"/>
      <c r="J1100" s="17"/>
    </row>
    <row r="1101" ht="10.95" customHeight="true" customFormat="true" s="8">
      <c r="A1101" s="9">
        <v>45680</v>
      </c>
      <c r="B1101" s="10" t="s">
        <v>210</v>
      </c>
      <c r="C1101" s="10" t="s">
        <v>1229</v>
      </c>
      <c r="D1101" s="10"/>
      <c r="E1101" s="10" t="s">
        <v>16</v>
      </c>
      <c r="F1101" s="11">
        <v>589.5500</v>
      </c>
      <c r="G1101" s="11">
        <v>0</v>
      </c>
      <c r="H1101" s="11">
        <v>589.5500</v>
      </c>
      <c r="I1101" s="11">
        <v>0</v>
      </c>
      <c r="J1101" s="10" t="s">
        <v>140</v>
      </c>
    </row>
    <row r="1102" ht="10.95" customHeight="true" customFormat="true" s="8">
      <c r="A1102" s="15" t="s">
        <v>1230</v>
      </c>
      <c r="B1102" s="15"/>
      <c r="C1102" s="15"/>
      <c r="D1102" s="15"/>
      <c r="E1102" s="15"/>
      <c r="F1102" s="16">
        <f ca="1">F1101</f>
        <v>0</v>
      </c>
      <c r="G1102" s="16">
        <f ca="1">G1101</f>
        <v>0</v>
      </c>
      <c r="H1102" s="16">
        <f ca="1">H1101</f>
        <v>0</v>
      </c>
      <c r="I1102" s="16">
        <f ca="1">I1101</f>
        <v>0</v>
      </c>
      <c r="J1102" s="15"/>
    </row>
    <row r="1103" ht="13.35" customHeight="true"/>
    <row r="1104" ht="12.1" customHeight="true" customFormat="true" s="5">
      <c r="A1104" s="17" t="s">
        <v>1231</v>
      </c>
      <c r="B1104" s="17"/>
      <c r="C1104" s="17"/>
      <c r="D1104" s="17"/>
      <c r="E1104" s="17"/>
      <c r="F1104" s="17"/>
      <c r="G1104" s="17"/>
      <c r="H1104" s="17"/>
      <c r="I1104" s="17"/>
      <c r="J1104" s="17"/>
    </row>
    <row r="1105" ht="10.95" customHeight="true" customFormat="true" s="8">
      <c r="A1105" s="9">
        <v>45775</v>
      </c>
      <c r="B1105" s="10" t="s">
        <v>36</v>
      </c>
      <c r="C1105" s="10" t="s">
        <v>1232</v>
      </c>
      <c r="D1105" s="10" t="s">
        <v>1233</v>
      </c>
      <c r="E1105" s="10" t="s">
        <v>16</v>
      </c>
      <c r="F1105" s="11">
        <v>0</v>
      </c>
      <c r="G1105" s="11">
        <v>120.0000</v>
      </c>
      <c r="H1105" s="11">
        <v>0</v>
      </c>
      <c r="I1105" s="11">
        <v>120.0000</v>
      </c>
      <c r="J1105" s="10" t="s">
        <v>46</v>
      </c>
    </row>
    <row r="1106" ht="10.95" customHeight="true" customFormat="true" s="8">
      <c r="A1106" s="15" t="s">
        <v>1234</v>
      </c>
      <c r="B1106" s="15"/>
      <c r="C1106" s="15"/>
      <c r="D1106" s="15"/>
      <c r="E1106" s="15"/>
      <c r="F1106" s="16">
        <f ca="1">F1105</f>
        <v>0</v>
      </c>
      <c r="G1106" s="16">
        <f ca="1">G1105</f>
        <v>0</v>
      </c>
      <c r="H1106" s="16">
        <f ca="1">H1105</f>
        <v>0</v>
      </c>
      <c r="I1106" s="16">
        <f ca="1">I1105</f>
        <v>0</v>
      </c>
      <c r="J1106" s="15"/>
    </row>
    <row r="1107" ht="13.35" customHeight="true"/>
    <row r="1108" ht="12.1" customHeight="true" customFormat="true" s="5">
      <c r="A1108" s="17" t="s">
        <v>1235</v>
      </c>
      <c r="B1108" s="17"/>
      <c r="C1108" s="17"/>
      <c r="D1108" s="17"/>
      <c r="E1108" s="17"/>
      <c r="F1108" s="17"/>
      <c r="G1108" s="17"/>
      <c r="H1108" s="17"/>
      <c r="I1108" s="17"/>
      <c r="J1108" s="17"/>
    </row>
    <row r="1109" ht="10.95" customHeight="true" customFormat="true" s="8">
      <c r="A1109" s="9">
        <v>45950</v>
      </c>
      <c r="B1109" s="10" t="s">
        <v>36</v>
      </c>
      <c r="C1109" s="10" t="s">
        <v>1236</v>
      </c>
      <c r="D1109" s="10" t="s">
        <v>1237</v>
      </c>
      <c r="E1109" s="10" t="s">
        <v>16</v>
      </c>
      <c r="F1109" s="11">
        <v>0</v>
      </c>
      <c r="G1109" s="11">
        <v>3750.0000</v>
      </c>
      <c r="H1109" s="11">
        <v>0</v>
      </c>
      <c r="I1109" s="11">
        <v>3750.0000</v>
      </c>
      <c r="J1109" s="10" t="s">
        <v>46</v>
      </c>
    </row>
    <row r="1110" ht="10.95" customHeight="true" customFormat="true" s="8">
      <c r="A1110" s="12">
        <v>45950</v>
      </c>
      <c r="B1110" s="13" t="s">
        <v>36</v>
      </c>
      <c r="C1110" s="13" t="s">
        <v>1238</v>
      </c>
      <c r="D1110" s="13" t="s">
        <v>1237</v>
      </c>
      <c r="E1110" s="13" t="s">
        <v>16</v>
      </c>
      <c r="F1110" s="14">
        <v>0</v>
      </c>
      <c r="G1110" s="14">
        <v>6500.0000</v>
      </c>
      <c r="H1110" s="14">
        <v>0</v>
      </c>
      <c r="I1110" s="14">
        <v>6500.0000</v>
      </c>
      <c r="J1110" s="13" t="s">
        <v>46</v>
      </c>
    </row>
    <row r="1111" ht="10.95" customHeight="true" customFormat="true" s="8">
      <c r="A1111" s="12">
        <v>45950</v>
      </c>
      <c r="B1111" s="13" t="s">
        <v>36</v>
      </c>
      <c r="C1111" s="13" t="s">
        <v>1239</v>
      </c>
      <c r="D1111" s="13" t="s">
        <v>1237</v>
      </c>
      <c r="E1111" s="13" t="s">
        <v>16</v>
      </c>
      <c r="F1111" s="14">
        <v>0</v>
      </c>
      <c r="G1111" s="14">
        <v>5000.0000</v>
      </c>
      <c r="H1111" s="14">
        <v>0</v>
      </c>
      <c r="I1111" s="14">
        <v>5000.0000</v>
      </c>
      <c r="J1111" s="13" t="s">
        <v>46</v>
      </c>
    </row>
    <row r="1112" ht="10.95" customHeight="true" customFormat="true" s="8">
      <c r="A1112" s="12">
        <v>45950</v>
      </c>
      <c r="B1112" s="13" t="s">
        <v>36</v>
      </c>
      <c r="C1112" s="13" t="s">
        <v>1240</v>
      </c>
      <c r="D1112" s="13" t="s">
        <v>1237</v>
      </c>
      <c r="E1112" s="13" t="s">
        <v>16</v>
      </c>
      <c r="F1112" s="14">
        <v>0</v>
      </c>
      <c r="G1112" s="14">
        <v>3750.0000</v>
      </c>
      <c r="H1112" s="14">
        <v>0</v>
      </c>
      <c r="I1112" s="14">
        <v>3750.0000</v>
      </c>
      <c r="J1112" s="13" t="s">
        <v>46</v>
      </c>
    </row>
    <row r="1113" ht="10.95" customHeight="true" customFormat="true" s="8">
      <c r="A1113" s="12">
        <v>45950</v>
      </c>
      <c r="B1113" s="13" t="s">
        <v>36</v>
      </c>
      <c r="C1113" s="13" t="s">
        <v>1241</v>
      </c>
      <c r="D1113" s="13" t="s">
        <v>1237</v>
      </c>
      <c r="E1113" s="13" t="s">
        <v>16</v>
      </c>
      <c r="F1113" s="14">
        <v>0</v>
      </c>
      <c r="G1113" s="14">
        <v>20000.0000</v>
      </c>
      <c r="H1113" s="14">
        <v>0</v>
      </c>
      <c r="I1113" s="14">
        <v>20000.0000</v>
      </c>
      <c r="J1113" s="13" t="s">
        <v>46</v>
      </c>
    </row>
    <row r="1114" ht="10.95" customHeight="true" customFormat="true" s="8">
      <c r="A1114" s="12">
        <v>45950</v>
      </c>
      <c r="B1114" s="13" t="s">
        <v>36</v>
      </c>
      <c r="C1114" s="13" t="s">
        <v>1242</v>
      </c>
      <c r="D1114" s="13" t="s">
        <v>1237</v>
      </c>
      <c r="E1114" s="13" t="s">
        <v>16</v>
      </c>
      <c r="F1114" s="14">
        <v>0</v>
      </c>
      <c r="G1114" s="14">
        <v>2250.0000</v>
      </c>
      <c r="H1114" s="14">
        <v>0</v>
      </c>
      <c r="I1114" s="14">
        <v>2250.0000</v>
      </c>
      <c r="J1114" s="13" t="s">
        <v>46</v>
      </c>
    </row>
    <row r="1115" ht="10.95" customHeight="true" customFormat="true" s="8">
      <c r="A1115" s="12">
        <v>45950</v>
      </c>
      <c r="B1115" s="13" t="s">
        <v>36</v>
      </c>
      <c r="C1115" s="13" t="s">
        <v>1243</v>
      </c>
      <c r="D1115" s="13" t="s">
        <v>1237</v>
      </c>
      <c r="E1115" s="13" t="s">
        <v>16</v>
      </c>
      <c r="F1115" s="14">
        <v>0</v>
      </c>
      <c r="G1115" s="14">
        <v>3750.0000</v>
      </c>
      <c r="H1115" s="14">
        <v>0</v>
      </c>
      <c r="I1115" s="14">
        <v>3750.0000</v>
      </c>
      <c r="J1115" s="13" t="s">
        <v>46</v>
      </c>
    </row>
    <row r="1116" ht="10.95" customHeight="true" customFormat="true" s="8">
      <c r="A1116" s="12">
        <v>45950</v>
      </c>
      <c r="B1116" s="13" t="s">
        <v>36</v>
      </c>
      <c r="C1116" s="13" t="s">
        <v>1244</v>
      </c>
      <c r="D1116" s="13" t="s">
        <v>1237</v>
      </c>
      <c r="E1116" s="13" t="s">
        <v>16</v>
      </c>
      <c r="F1116" s="14">
        <v>0</v>
      </c>
      <c r="G1116" s="14">
        <v>3750.0000</v>
      </c>
      <c r="H1116" s="14">
        <v>0</v>
      </c>
      <c r="I1116" s="14">
        <v>3750.0000</v>
      </c>
      <c r="J1116" s="13" t="s">
        <v>46</v>
      </c>
    </row>
    <row r="1117" ht="10.95" customHeight="true" customFormat="true" s="8">
      <c r="A1117" s="12">
        <v>45950</v>
      </c>
      <c r="B1117" s="13" t="s">
        <v>36</v>
      </c>
      <c r="C1117" s="13" t="s">
        <v>1245</v>
      </c>
      <c r="D1117" s="13" t="s">
        <v>1237</v>
      </c>
      <c r="E1117" s="13" t="s">
        <v>16</v>
      </c>
      <c r="F1117" s="14">
        <v>0</v>
      </c>
      <c r="G1117" s="14">
        <v>29195.0000</v>
      </c>
      <c r="H1117" s="14">
        <v>0</v>
      </c>
      <c r="I1117" s="14">
        <v>29195.0000</v>
      </c>
      <c r="J1117" s="13" t="s">
        <v>46</v>
      </c>
    </row>
    <row r="1118" ht="10.95" customHeight="true" customFormat="true" s="8">
      <c r="A1118" s="15" t="s">
        <v>1246</v>
      </c>
      <c r="B1118" s="15"/>
      <c r="C1118" s="15"/>
      <c r="D1118" s="15"/>
      <c r="E1118" s="15"/>
      <c r="F1118" s="16">
        <f ca="1">SUM(F1109:F1117)</f>
        <v>0</v>
      </c>
      <c r="G1118" s="16">
        <f ca="1">SUM(G1109:G1117)</f>
        <v>0</v>
      </c>
      <c r="H1118" s="16">
        <f ca="1">SUM(H1109:H1117)</f>
        <v>0</v>
      </c>
      <c r="I1118" s="16">
        <f ca="1">SUM(I1109:I1117)</f>
        <v>0</v>
      </c>
      <c r="J1118" s="15"/>
    </row>
    <row r="1119" ht="13.35" customHeight="true"/>
    <row r="1120" ht="12.1" customHeight="true" customFormat="true" s="5">
      <c r="A1120" s="17" t="s">
        <v>1247</v>
      </c>
      <c r="B1120" s="17"/>
      <c r="C1120" s="17"/>
      <c r="D1120" s="17"/>
      <c r="E1120" s="17"/>
      <c r="F1120" s="17"/>
      <c r="G1120" s="17"/>
      <c r="H1120" s="17"/>
      <c r="I1120" s="17"/>
      <c r="J1120" s="17"/>
    </row>
    <row r="1121" ht="10.95" customHeight="true" customFormat="true" s="8">
      <c r="A1121" s="9">
        <v>45811</v>
      </c>
      <c r="B1121" s="10" t="s">
        <v>36</v>
      </c>
      <c r="C1121" s="10" t="s">
        <v>1248</v>
      </c>
      <c r="D1121" s="10" t="s">
        <v>1249</v>
      </c>
      <c r="E1121" s="10" t="s">
        <v>16</v>
      </c>
      <c r="F1121" s="11">
        <v>0</v>
      </c>
      <c r="G1121" s="11">
        <v>1125.0000</v>
      </c>
      <c r="H1121" s="11">
        <v>0</v>
      </c>
      <c r="I1121" s="11">
        <v>1125.0000</v>
      </c>
      <c r="J1121" s="10" t="s">
        <v>18</v>
      </c>
    </row>
    <row r="1122" ht="10.95" customHeight="true" customFormat="true" s="8">
      <c r="A1122" s="15" t="s">
        <v>1250</v>
      </c>
      <c r="B1122" s="15"/>
      <c r="C1122" s="15"/>
      <c r="D1122" s="15"/>
      <c r="E1122" s="15"/>
      <c r="F1122" s="16">
        <f ca="1">F1121</f>
        <v>0</v>
      </c>
      <c r="G1122" s="16">
        <f ca="1">G1121</f>
        <v>0</v>
      </c>
      <c r="H1122" s="16">
        <f ca="1">H1121</f>
        <v>0</v>
      </c>
      <c r="I1122" s="16">
        <f ca="1">I1121</f>
        <v>0</v>
      </c>
      <c r="J1122" s="15"/>
    </row>
    <row r="1123" ht="13.35" customHeight="true"/>
    <row r="1124" ht="12.1" customHeight="true" customFormat="true" s="5">
      <c r="A1124" s="17" t="s">
        <v>1251</v>
      </c>
      <c r="B1124" s="17"/>
      <c r="C1124" s="17"/>
      <c r="D1124" s="17"/>
      <c r="E1124" s="17"/>
      <c r="F1124" s="17"/>
      <c r="G1124" s="17"/>
      <c r="H1124" s="17"/>
      <c r="I1124" s="17"/>
      <c r="J1124" s="17"/>
    </row>
    <row r="1125" ht="10.95" customHeight="true" customFormat="true" s="8">
      <c r="A1125" s="9">
        <v>46154</v>
      </c>
      <c r="B1125" s="10" t="s">
        <v>36</v>
      </c>
      <c r="C1125" s="10" t="s">
        <v>1252</v>
      </c>
      <c r="D1125" s="10" t="s">
        <v>1253</v>
      </c>
      <c r="E1125" s="10" t="s">
        <v>16</v>
      </c>
      <c r="F1125" s="11">
        <v>0</v>
      </c>
      <c r="G1125" s="11">
        <v>3320.0000</v>
      </c>
      <c r="H1125" s="11">
        <v>0</v>
      </c>
      <c r="I1125" s="11">
        <v>3320.0000</v>
      </c>
      <c r="J1125" s="10" t="s">
        <v>46</v>
      </c>
    </row>
    <row r="1126" ht="10.95" customHeight="true" customFormat="true" s="8">
      <c r="A1126" s="15" t="s">
        <v>1254</v>
      </c>
      <c r="B1126" s="15"/>
      <c r="C1126" s="15"/>
      <c r="D1126" s="15"/>
      <c r="E1126" s="15"/>
      <c r="F1126" s="16">
        <f ca="1">F1125</f>
        <v>0</v>
      </c>
      <c r="G1126" s="16">
        <f ca="1">G1125</f>
        <v>0</v>
      </c>
      <c r="H1126" s="16">
        <f ca="1">H1125</f>
        <v>0</v>
      </c>
      <c r="I1126" s="16">
        <f ca="1">I1125</f>
        <v>0</v>
      </c>
      <c r="J1126" s="15"/>
    </row>
    <row r="1127" ht="13.35" customHeight="true"/>
    <row r="1128" ht="12.1" customHeight="true" customFormat="true" s="5">
      <c r="A1128" s="17" t="s">
        <v>1255</v>
      </c>
      <c r="B1128" s="17"/>
      <c r="C1128" s="17"/>
      <c r="D1128" s="17"/>
      <c r="E1128" s="17"/>
      <c r="F1128" s="17"/>
      <c r="G1128" s="17"/>
      <c r="H1128" s="17"/>
      <c r="I1128" s="17"/>
      <c r="J1128" s="17"/>
    </row>
    <row r="1129" ht="10.95" customHeight="true" customFormat="true" s="8">
      <c r="A1129" s="9">
        <v>45820</v>
      </c>
      <c r="B1129" s="10" t="s">
        <v>36</v>
      </c>
      <c r="C1129" s="10" t="s">
        <v>1256</v>
      </c>
      <c r="D1129" s="10" t="s">
        <v>1257</v>
      </c>
      <c r="E1129" s="10" t="s">
        <v>16</v>
      </c>
      <c r="F1129" s="11">
        <v>0</v>
      </c>
      <c r="G1129" s="11">
        <v>559.3600</v>
      </c>
      <c r="H1129" s="11">
        <v>0</v>
      </c>
      <c r="I1129" s="11">
        <v>559.3600</v>
      </c>
      <c r="J1129" s="10" t="s">
        <v>18</v>
      </c>
    </row>
    <row r="1130" ht="10.95" customHeight="true" customFormat="true" s="8">
      <c r="A1130" s="15" t="s">
        <v>1258</v>
      </c>
      <c r="B1130" s="15"/>
      <c r="C1130" s="15"/>
      <c r="D1130" s="15"/>
      <c r="E1130" s="15"/>
      <c r="F1130" s="16">
        <f ca="1">F1129</f>
        <v>0</v>
      </c>
      <c r="G1130" s="16">
        <f ca="1">G1129</f>
        <v>0</v>
      </c>
      <c r="H1130" s="16">
        <f ca="1">H1129</f>
        <v>0</v>
      </c>
      <c r="I1130" s="16">
        <f ca="1">I1129</f>
        <v>0</v>
      </c>
      <c r="J1130" s="15"/>
    </row>
    <row r="1131" ht="13.35" customHeight="true"/>
    <row r="1132" ht="12.1" customHeight="true" customFormat="true" s="5">
      <c r="A1132" s="17" t="s">
        <v>1259</v>
      </c>
      <c r="B1132" s="17"/>
      <c r="C1132" s="17"/>
      <c r="D1132" s="17"/>
      <c r="E1132" s="17"/>
      <c r="F1132" s="17"/>
      <c r="G1132" s="17"/>
      <c r="H1132" s="17"/>
      <c r="I1132" s="17"/>
      <c r="J1132" s="17"/>
    </row>
    <row r="1133" ht="10.95" customHeight="true" customFormat="true" s="8">
      <c r="A1133" s="9">
        <v>45712</v>
      </c>
      <c r="B1133" s="10" t="s">
        <v>36</v>
      </c>
      <c r="C1133" s="10" t="s">
        <v>1260</v>
      </c>
      <c r="D1133" s="10" t="s">
        <v>1261</v>
      </c>
      <c r="E1133" s="10" t="s">
        <v>16</v>
      </c>
      <c r="F1133" s="11">
        <v>0</v>
      </c>
      <c r="G1133" s="11">
        <v>3411.9800</v>
      </c>
      <c r="H1133" s="11">
        <v>0</v>
      </c>
      <c r="I1133" s="11">
        <v>3411.9800</v>
      </c>
      <c r="J1133" s="10" t="s">
        <v>125</v>
      </c>
    </row>
    <row r="1134" ht="10.95" customHeight="true" customFormat="true" s="8">
      <c r="A1134" s="15" t="s">
        <v>1262</v>
      </c>
      <c r="B1134" s="15"/>
      <c r="C1134" s="15"/>
      <c r="D1134" s="15"/>
      <c r="E1134" s="15"/>
      <c r="F1134" s="16">
        <f ca="1">F1133</f>
        <v>0</v>
      </c>
      <c r="G1134" s="16">
        <f ca="1">G1133</f>
        <v>0</v>
      </c>
      <c r="H1134" s="16">
        <f ca="1">H1133</f>
        <v>0</v>
      </c>
      <c r="I1134" s="16">
        <f ca="1">I1133</f>
        <v>0</v>
      </c>
      <c r="J1134" s="15"/>
    </row>
    <row r="1135" ht="13.35" customHeight="true"/>
    <row r="1136" ht="12.1" customHeight="true" customFormat="true" s="5">
      <c r="A1136" s="17" t="s">
        <v>1263</v>
      </c>
      <c r="B1136" s="17"/>
      <c r="C1136" s="17"/>
      <c r="D1136" s="17"/>
      <c r="E1136" s="17"/>
      <c r="F1136" s="17"/>
      <c r="G1136" s="17"/>
      <c r="H1136" s="17"/>
      <c r="I1136" s="17"/>
      <c r="J1136" s="17"/>
    </row>
    <row r="1137" ht="10.95" customHeight="true" customFormat="true" s="8">
      <c r="A1137" s="9">
        <v>46244</v>
      </c>
      <c r="B1137" s="10" t="s">
        <v>36</v>
      </c>
      <c r="C1137" s="10" t="s">
        <v>1264</v>
      </c>
      <c r="D1137" s="10" t="s">
        <v>1265</v>
      </c>
      <c r="E1137" s="10" t="s">
        <v>16</v>
      </c>
      <c r="F1137" s="11">
        <v>0</v>
      </c>
      <c r="G1137" s="11">
        <v>7192.6000</v>
      </c>
      <c r="H1137" s="11">
        <v>0</v>
      </c>
      <c r="I1137" s="11">
        <v>7192.6000</v>
      </c>
      <c r="J1137" s="10" t="s">
        <v>46</v>
      </c>
    </row>
    <row r="1138" ht="10.95" customHeight="true" customFormat="true" s="8">
      <c r="A1138" s="15" t="s">
        <v>1266</v>
      </c>
      <c r="B1138" s="15"/>
      <c r="C1138" s="15"/>
      <c r="D1138" s="15"/>
      <c r="E1138" s="15"/>
      <c r="F1138" s="16">
        <f ca="1">F1137</f>
        <v>0</v>
      </c>
      <c r="G1138" s="16">
        <f ca="1">G1137</f>
        <v>0</v>
      </c>
      <c r="H1138" s="16">
        <f ca="1">H1137</f>
        <v>0</v>
      </c>
      <c r="I1138" s="16">
        <f ca="1">I1137</f>
        <v>0</v>
      </c>
      <c r="J1138" s="15"/>
    </row>
    <row r="1139" ht="13.35" customHeight="true"/>
    <row r="1140" ht="12.1" customHeight="true" customFormat="true" s="5">
      <c r="A1140" s="17" t="s">
        <v>1267</v>
      </c>
      <c r="B1140" s="17"/>
      <c r="C1140" s="17"/>
      <c r="D1140" s="17"/>
      <c r="E1140" s="17"/>
      <c r="F1140" s="17"/>
      <c r="G1140" s="17"/>
      <c r="H1140" s="17"/>
      <c r="I1140" s="17"/>
      <c r="J1140" s="17"/>
    </row>
    <row r="1141" ht="10.95" customHeight="true" customFormat="true" s="8">
      <c r="A1141" s="9">
        <v>45792</v>
      </c>
      <c r="B1141" s="10" t="s">
        <v>36</v>
      </c>
      <c r="C1141" s="10" t="s">
        <v>1268</v>
      </c>
      <c r="D1141" s="10" t="s">
        <v>1269</v>
      </c>
      <c r="E1141" s="10" t="s">
        <v>16</v>
      </c>
      <c r="F1141" s="11">
        <v>0</v>
      </c>
      <c r="G1141" s="11">
        <v>12928.5000</v>
      </c>
      <c r="H1141" s="11">
        <v>0</v>
      </c>
      <c r="I1141" s="11">
        <v>12928.5000</v>
      </c>
      <c r="J1141" s="10" t="s">
        <v>17</v>
      </c>
    </row>
    <row r="1142" ht="10.95" customHeight="true" customFormat="true" s="8">
      <c r="A1142" s="12">
        <v>45792</v>
      </c>
      <c r="B1142" s="13" t="s">
        <v>36</v>
      </c>
      <c r="C1142" s="13" t="s">
        <v>1270</v>
      </c>
      <c r="D1142" s="13" t="s">
        <v>1269</v>
      </c>
      <c r="E1142" s="13" t="s">
        <v>16</v>
      </c>
      <c r="F1142" s="14">
        <v>0</v>
      </c>
      <c r="G1142" s="14">
        <v>4143.7500</v>
      </c>
      <c r="H1142" s="14">
        <v>0</v>
      </c>
      <c r="I1142" s="14">
        <v>4143.7500</v>
      </c>
      <c r="J1142" s="13" t="s">
        <v>17</v>
      </c>
    </row>
    <row r="1143" ht="10.95" customHeight="true" customFormat="true" s="8">
      <c r="A1143" s="12">
        <v>45792</v>
      </c>
      <c r="B1143" s="13" t="s">
        <v>36</v>
      </c>
      <c r="C1143" s="13" t="s">
        <v>1271</v>
      </c>
      <c r="D1143" s="13" t="s">
        <v>1269</v>
      </c>
      <c r="E1143" s="13" t="s">
        <v>16</v>
      </c>
      <c r="F1143" s="14">
        <v>0</v>
      </c>
      <c r="G1143" s="14">
        <v>559.3700</v>
      </c>
      <c r="H1143" s="14">
        <v>0</v>
      </c>
      <c r="I1143" s="14">
        <v>559.3700</v>
      </c>
      <c r="J1143" s="13" t="s">
        <v>18</v>
      </c>
    </row>
    <row r="1144" ht="10.95" customHeight="true" customFormat="true" s="8">
      <c r="A1144" s="15" t="s">
        <v>1272</v>
      </c>
      <c r="B1144" s="15"/>
      <c r="C1144" s="15"/>
      <c r="D1144" s="15"/>
      <c r="E1144" s="15"/>
      <c r="F1144" s="16">
        <f ca="1">SUM(F1141:F1143)</f>
        <v>0</v>
      </c>
      <c r="G1144" s="16">
        <f ca="1">SUM(G1141:G1143)</f>
        <v>0</v>
      </c>
      <c r="H1144" s="16">
        <f ca="1">SUM(H1141:H1143)</f>
        <v>0</v>
      </c>
      <c r="I1144" s="16">
        <f ca="1">SUM(I1141:I1143)</f>
        <v>0</v>
      </c>
      <c r="J1144" s="15"/>
    </row>
    <row r="1145" ht="13.35" customHeight="true"/>
    <row r="1146" ht="12.1" customHeight="true" customFormat="true" s="5">
      <c r="A1146" s="17" t="s">
        <v>1273</v>
      </c>
      <c r="B1146" s="17"/>
      <c r="C1146" s="17"/>
      <c r="D1146" s="17"/>
      <c r="E1146" s="17"/>
      <c r="F1146" s="17"/>
      <c r="G1146" s="17"/>
      <c r="H1146" s="17"/>
      <c r="I1146" s="17"/>
      <c r="J1146" s="17"/>
    </row>
    <row r="1147" ht="10.95" customHeight="true" customFormat="true" s="8">
      <c r="A1147" s="9">
        <v>45308</v>
      </c>
      <c r="B1147" s="10" t="s">
        <v>36</v>
      </c>
      <c r="C1147" s="10" t="s">
        <v>1274</v>
      </c>
      <c r="D1147" s="10" t="s">
        <v>1275</v>
      </c>
      <c r="E1147" s="10" t="s">
        <v>16</v>
      </c>
      <c r="F1147" s="11">
        <v>0</v>
      </c>
      <c r="G1147" s="11">
        <v>4290.0000</v>
      </c>
      <c r="H1147" s="11">
        <v>0</v>
      </c>
      <c r="I1147" s="11">
        <v>4290.0000</v>
      </c>
      <c r="J1147" s="10" t="s">
        <v>18</v>
      </c>
    </row>
    <row r="1148" ht="10.95" customHeight="true" customFormat="true" s="8">
      <c r="A1148" s="12">
        <v>45484</v>
      </c>
      <c r="B1148" s="13" t="s">
        <v>36</v>
      </c>
      <c r="C1148" s="13" t="s">
        <v>1276</v>
      </c>
      <c r="D1148" s="13" t="s">
        <v>1277</v>
      </c>
      <c r="E1148" s="13" t="s">
        <v>16</v>
      </c>
      <c r="F1148" s="14">
        <v>0</v>
      </c>
      <c r="G1148" s="14">
        <v>2118.6000</v>
      </c>
      <c r="H1148" s="14">
        <v>0</v>
      </c>
      <c r="I1148" s="14">
        <v>2118.6000</v>
      </c>
      <c r="J1148" s="13" t="s">
        <v>46</v>
      </c>
    </row>
    <row r="1149" ht="10.95" customHeight="true" customFormat="true" s="8">
      <c r="A1149" s="12">
        <v>46148</v>
      </c>
      <c r="B1149" s="13" t="s">
        <v>36</v>
      </c>
      <c r="C1149" s="13" t="s">
        <v>1278</v>
      </c>
      <c r="D1149" s="13" t="s">
        <v>1279</v>
      </c>
      <c r="E1149" s="13" t="s">
        <v>16</v>
      </c>
      <c r="F1149" s="14">
        <v>0</v>
      </c>
      <c r="G1149" s="14">
        <v>1827.0000</v>
      </c>
      <c r="H1149" s="14">
        <v>0</v>
      </c>
      <c r="I1149" s="14">
        <v>1827.0000</v>
      </c>
      <c r="J1149" s="13" t="s">
        <v>46</v>
      </c>
    </row>
    <row r="1150" ht="10.95" customHeight="true" customFormat="true" s="8">
      <c r="A1150" s="12">
        <v>46176</v>
      </c>
      <c r="B1150" s="13" t="s">
        <v>36</v>
      </c>
      <c r="C1150" s="13" t="s">
        <v>1280</v>
      </c>
      <c r="D1150" s="13" t="s">
        <v>1281</v>
      </c>
      <c r="E1150" s="13" t="s">
        <v>16</v>
      </c>
      <c r="F1150" s="14">
        <v>0</v>
      </c>
      <c r="G1150" s="14">
        <v>1023.0000</v>
      </c>
      <c r="H1150" s="14">
        <v>0</v>
      </c>
      <c r="I1150" s="14">
        <v>1023.0000</v>
      </c>
      <c r="J1150" s="13" t="s">
        <v>46</v>
      </c>
    </row>
    <row r="1151" ht="10.95" customHeight="true" customFormat="true" s="8">
      <c r="A1151" s="12">
        <v>46176</v>
      </c>
      <c r="B1151" s="13" t="s">
        <v>36</v>
      </c>
      <c r="C1151" s="13" t="s">
        <v>1282</v>
      </c>
      <c r="D1151" s="13" t="s">
        <v>1281</v>
      </c>
      <c r="E1151" s="13" t="s">
        <v>16</v>
      </c>
      <c r="F1151" s="14">
        <v>0</v>
      </c>
      <c r="G1151" s="14">
        <v>730.8000</v>
      </c>
      <c r="H1151" s="14">
        <v>0</v>
      </c>
      <c r="I1151" s="14">
        <v>730.8000</v>
      </c>
      <c r="J1151" s="13" t="s">
        <v>46</v>
      </c>
    </row>
    <row r="1152" ht="10.95" customHeight="true" customFormat="true" s="8">
      <c r="A1152" s="15" t="s">
        <v>1283</v>
      </c>
      <c r="B1152" s="15"/>
      <c r="C1152" s="15"/>
      <c r="D1152" s="15"/>
      <c r="E1152" s="15"/>
      <c r="F1152" s="16">
        <f ca="1">SUM(F1147:F1151)</f>
        <v>0</v>
      </c>
      <c r="G1152" s="16">
        <f ca="1">SUM(G1147:G1151)</f>
        <v>0</v>
      </c>
      <c r="H1152" s="16">
        <f ca="1">SUM(H1147:H1151)</f>
        <v>0</v>
      </c>
      <c r="I1152" s="16">
        <f ca="1">SUM(I1147:I1151)</f>
        <v>0</v>
      </c>
      <c r="J1152" s="15"/>
    </row>
    <row r="1153" ht="13.35" customHeight="true"/>
    <row r="1154" ht="12.1" customHeight="true" customFormat="true" s="5">
      <c r="A1154" s="17" t="s">
        <v>1284</v>
      </c>
      <c r="B1154" s="17"/>
      <c r="C1154" s="17"/>
      <c r="D1154" s="17"/>
      <c r="E1154" s="17"/>
      <c r="F1154" s="17"/>
      <c r="G1154" s="17"/>
      <c r="H1154" s="17"/>
      <c r="I1154" s="17"/>
      <c r="J1154" s="17"/>
    </row>
    <row r="1155" ht="10.95" customHeight="true" customFormat="true" s="8">
      <c r="A1155" s="9">
        <v>45607</v>
      </c>
      <c r="B1155" s="10" t="s">
        <v>36</v>
      </c>
      <c r="C1155" s="10" t="s">
        <v>1285</v>
      </c>
      <c r="D1155" s="10" t="s">
        <v>1286</v>
      </c>
      <c r="E1155" s="10" t="s">
        <v>16</v>
      </c>
      <c r="F1155" s="11">
        <v>0</v>
      </c>
      <c r="G1155" s="11">
        <v>13845.0000</v>
      </c>
      <c r="H1155" s="11">
        <v>0</v>
      </c>
      <c r="I1155" s="11">
        <v>13845.0000</v>
      </c>
      <c r="J1155" s="10" t="s">
        <v>46</v>
      </c>
    </row>
    <row r="1156" ht="10.95" customHeight="true" customFormat="true" s="8">
      <c r="A1156" s="12">
        <v>45607</v>
      </c>
      <c r="B1156" s="13" t="s">
        <v>36</v>
      </c>
      <c r="C1156" s="13" t="s">
        <v>1287</v>
      </c>
      <c r="D1156" s="13" t="s">
        <v>1286</v>
      </c>
      <c r="E1156" s="13" t="s">
        <v>16</v>
      </c>
      <c r="F1156" s="14">
        <v>0</v>
      </c>
      <c r="G1156" s="14">
        <v>3461.2500</v>
      </c>
      <c r="H1156" s="14">
        <v>0</v>
      </c>
      <c r="I1156" s="14">
        <v>3461.2500</v>
      </c>
      <c r="J1156" s="13" t="s">
        <v>46</v>
      </c>
    </row>
    <row r="1157" ht="10.95" customHeight="true" customFormat="true" s="8">
      <c r="A1157" s="15" t="s">
        <v>1288</v>
      </c>
      <c r="B1157" s="15"/>
      <c r="C1157" s="15"/>
      <c r="D1157" s="15"/>
      <c r="E1157" s="15"/>
      <c r="F1157" s="16">
        <f ca="1">SUM(F1155:F1156)</f>
        <v>0</v>
      </c>
      <c r="G1157" s="16">
        <f ca="1">SUM(G1155:G1156)</f>
        <v>0</v>
      </c>
      <c r="H1157" s="16">
        <f ca="1">SUM(H1155:H1156)</f>
        <v>0</v>
      </c>
      <c r="I1157" s="16">
        <f ca="1">SUM(I1155:I1156)</f>
        <v>0</v>
      </c>
      <c r="J1157" s="15"/>
    </row>
    <row r="1158" ht="13.35" customHeight="true"/>
    <row r="1159" ht="12.1" customHeight="true" customFormat="true" s="5">
      <c r="A1159" s="17" t="s">
        <v>1289</v>
      </c>
      <c r="B1159" s="17"/>
      <c r="C1159" s="17"/>
      <c r="D1159" s="17"/>
      <c r="E1159" s="17"/>
      <c r="F1159" s="17"/>
      <c r="G1159" s="17"/>
      <c r="H1159" s="17"/>
      <c r="I1159" s="17"/>
      <c r="J1159" s="17"/>
    </row>
    <row r="1160" ht="10.95" customHeight="true" customFormat="true" s="8">
      <c r="A1160" s="9">
        <v>45526</v>
      </c>
      <c r="B1160" s="10" t="s">
        <v>36</v>
      </c>
      <c r="C1160" s="10" t="s">
        <v>1290</v>
      </c>
      <c r="D1160" s="10" t="s">
        <v>1291</v>
      </c>
      <c r="E1160" s="10" t="s">
        <v>16</v>
      </c>
      <c r="F1160" s="11">
        <v>0</v>
      </c>
      <c r="G1160" s="11">
        <v>186.1500</v>
      </c>
      <c r="H1160" s="11">
        <v>0</v>
      </c>
      <c r="I1160" s="11">
        <v>186.1500</v>
      </c>
      <c r="J1160" s="10" t="s">
        <v>46</v>
      </c>
    </row>
    <row r="1161" ht="10.95" customHeight="true" customFormat="true" s="8">
      <c r="A1161" s="12">
        <v>45546</v>
      </c>
      <c r="B1161" s="13" t="s">
        <v>36</v>
      </c>
      <c r="C1161" s="13" t="s">
        <v>1290</v>
      </c>
      <c r="D1161" s="13" t="s">
        <v>1292</v>
      </c>
      <c r="E1161" s="13" t="s">
        <v>16</v>
      </c>
      <c r="F1161" s="14">
        <v>0</v>
      </c>
      <c r="G1161" s="14">
        <v>186.1500</v>
      </c>
      <c r="H1161" s="14">
        <v>0</v>
      </c>
      <c r="I1161" s="14">
        <v>186.1500</v>
      </c>
      <c r="J1161" s="13" t="s">
        <v>46</v>
      </c>
    </row>
    <row r="1162" ht="10.95" customHeight="true" customFormat="true" s="8">
      <c r="A1162" s="15" t="s">
        <v>1293</v>
      </c>
      <c r="B1162" s="15"/>
      <c r="C1162" s="15"/>
      <c r="D1162" s="15"/>
      <c r="E1162" s="15"/>
      <c r="F1162" s="16">
        <f ca="1">SUM(F1160:F1161)</f>
        <v>0</v>
      </c>
      <c r="G1162" s="16">
        <f ca="1">SUM(G1160:G1161)</f>
        <v>0</v>
      </c>
      <c r="H1162" s="16">
        <f ca="1">SUM(H1160:H1161)</f>
        <v>0</v>
      </c>
      <c r="I1162" s="16">
        <f ca="1">SUM(I1160:I1161)</f>
        <v>0</v>
      </c>
      <c r="J1162" s="15"/>
    </row>
    <row r="1163" ht="13.35" customHeight="true"/>
    <row r="1164" ht="12.1" customHeight="true" customFormat="true" s="5">
      <c r="A1164" s="17" t="s">
        <v>1294</v>
      </c>
      <c r="B1164" s="17"/>
      <c r="C1164" s="17"/>
      <c r="D1164" s="17"/>
      <c r="E1164" s="17"/>
      <c r="F1164" s="17"/>
      <c r="G1164" s="17"/>
      <c r="H1164" s="17"/>
      <c r="I1164" s="17"/>
      <c r="J1164" s="17"/>
    </row>
    <row r="1165" ht="10.95" customHeight="true" customFormat="true" s="8">
      <c r="A1165" s="9">
        <v>45351</v>
      </c>
      <c r="B1165" s="10" t="s">
        <v>36</v>
      </c>
      <c r="C1165" s="10" t="s">
        <v>1295</v>
      </c>
      <c r="D1165" s="10" t="s">
        <v>1296</v>
      </c>
      <c r="E1165" s="10" t="s">
        <v>16</v>
      </c>
      <c r="F1165" s="11">
        <v>0</v>
      </c>
      <c r="G1165" s="11">
        <v>1502.0300</v>
      </c>
      <c r="H1165" s="11">
        <v>0</v>
      </c>
      <c r="I1165" s="11">
        <v>1502.0300</v>
      </c>
      <c r="J1165" s="10" t="s">
        <v>18</v>
      </c>
    </row>
    <row r="1166" ht="10.95" customHeight="true" customFormat="true" s="8">
      <c r="A1166" s="12">
        <v>45527</v>
      </c>
      <c r="B1166" s="13" t="s">
        <v>36</v>
      </c>
      <c r="C1166" s="13" t="s">
        <v>1297</v>
      </c>
      <c r="D1166" s="13" t="s">
        <v>1298</v>
      </c>
      <c r="E1166" s="13" t="s">
        <v>16</v>
      </c>
      <c r="F1166" s="14">
        <v>0</v>
      </c>
      <c r="G1166" s="14">
        <v>14118.8400</v>
      </c>
      <c r="H1166" s="14">
        <v>0</v>
      </c>
      <c r="I1166" s="14">
        <v>14118.8400</v>
      </c>
      <c r="J1166" s="13" t="s">
        <v>20</v>
      </c>
    </row>
    <row r="1167" ht="10.95" customHeight="true" customFormat="true" s="8">
      <c r="A1167" s="12">
        <v>45546</v>
      </c>
      <c r="B1167" s="13" t="s">
        <v>36</v>
      </c>
      <c r="C1167" s="13" t="s">
        <v>1299</v>
      </c>
      <c r="D1167" s="13" t="s">
        <v>1300</v>
      </c>
      <c r="E1167" s="13" t="s">
        <v>16</v>
      </c>
      <c r="F1167" s="14">
        <v>0</v>
      </c>
      <c r="G1167" s="14">
        <v>390.0000</v>
      </c>
      <c r="H1167" s="14">
        <v>0</v>
      </c>
      <c r="I1167" s="14">
        <v>390.0000</v>
      </c>
      <c r="J1167" s="13" t="s">
        <v>46</v>
      </c>
    </row>
    <row r="1168" ht="10.95" customHeight="true" customFormat="true" s="8">
      <c r="A1168" s="12">
        <v>45674</v>
      </c>
      <c r="B1168" s="13" t="s">
        <v>36</v>
      </c>
      <c r="C1168" s="13" t="s">
        <v>1301</v>
      </c>
      <c r="D1168" s="13" t="s">
        <v>1302</v>
      </c>
      <c r="E1168" s="13" t="s">
        <v>16</v>
      </c>
      <c r="F1168" s="14">
        <v>0</v>
      </c>
      <c r="G1168" s="14">
        <v>1989.0000</v>
      </c>
      <c r="H1168" s="14">
        <v>0</v>
      </c>
      <c r="I1168" s="14">
        <v>1989.0000</v>
      </c>
      <c r="J1168" s="13" t="s">
        <v>46</v>
      </c>
    </row>
    <row r="1169" ht="10.95" customHeight="true" customFormat="true" s="8">
      <c r="A1169" s="12">
        <v>45684</v>
      </c>
      <c r="B1169" s="13" t="s">
        <v>36</v>
      </c>
      <c r="C1169" s="13" t="s">
        <v>1299</v>
      </c>
      <c r="D1169" s="13" t="s">
        <v>1303</v>
      </c>
      <c r="E1169" s="13" t="s">
        <v>16</v>
      </c>
      <c r="F1169" s="14">
        <v>0</v>
      </c>
      <c r="G1169" s="14">
        <v>2340.0000</v>
      </c>
      <c r="H1169" s="14">
        <v>0</v>
      </c>
      <c r="I1169" s="14">
        <v>2340.0000</v>
      </c>
      <c r="J1169" s="13" t="s">
        <v>46</v>
      </c>
    </row>
    <row r="1170" ht="10.95" customHeight="true" customFormat="true" s="8">
      <c r="A1170" s="12">
        <v>45741</v>
      </c>
      <c r="B1170" s="13" t="s">
        <v>72</v>
      </c>
      <c r="C1170" s="13" t="s">
        <v>1304</v>
      </c>
      <c r="D1170" s="13" t="s">
        <v>1302</v>
      </c>
      <c r="E1170" s="13" t="s">
        <v>16</v>
      </c>
      <c r="F1170" s="14">
        <v>1928.7900</v>
      </c>
      <c r="G1170" s="14">
        <v>0</v>
      </c>
      <c r="H1170" s="14">
        <v>1928.7900</v>
      </c>
      <c r="I1170" s="14">
        <v>0</v>
      </c>
      <c r="J1170" s="13" t="s">
        <v>46</v>
      </c>
    </row>
    <row r="1171" ht="10.95" customHeight="true" customFormat="true" s="8">
      <c r="A1171" s="12">
        <v>45742</v>
      </c>
      <c r="B1171" s="13" t="s">
        <v>36</v>
      </c>
      <c r="C1171" s="13" t="s">
        <v>1305</v>
      </c>
      <c r="D1171" s="13" t="s">
        <v>1306</v>
      </c>
      <c r="E1171" s="13" t="s">
        <v>16</v>
      </c>
      <c r="F1171" s="14">
        <v>0</v>
      </c>
      <c r="G1171" s="14">
        <v>112.9700</v>
      </c>
      <c r="H1171" s="14">
        <v>0</v>
      </c>
      <c r="I1171" s="14">
        <v>112.9700</v>
      </c>
      <c r="J1171" s="13" t="s">
        <v>46</v>
      </c>
    </row>
    <row r="1172" ht="10.95" customHeight="true" customFormat="true" s="8">
      <c r="A1172" s="12">
        <v>45869</v>
      </c>
      <c r="B1172" s="13" t="s">
        <v>36</v>
      </c>
      <c r="C1172" s="13" t="s">
        <v>1307</v>
      </c>
      <c r="D1172" s="13" t="s">
        <v>1308</v>
      </c>
      <c r="E1172" s="13" t="s">
        <v>16</v>
      </c>
      <c r="F1172" s="14">
        <v>0</v>
      </c>
      <c r="G1172" s="14">
        <v>10400.0000</v>
      </c>
      <c r="H1172" s="14">
        <v>0</v>
      </c>
      <c r="I1172" s="14">
        <v>10400.0000</v>
      </c>
      <c r="J1172" s="13" t="s">
        <v>46</v>
      </c>
    </row>
    <row r="1173" ht="10.95" customHeight="true" customFormat="true" s="8">
      <c r="A1173" s="12">
        <v>45974</v>
      </c>
      <c r="B1173" s="13" t="s">
        <v>36</v>
      </c>
      <c r="C1173" s="13" t="s">
        <v>1309</v>
      </c>
      <c r="D1173" s="13" t="s">
        <v>1310</v>
      </c>
      <c r="E1173" s="13" t="s">
        <v>16</v>
      </c>
      <c r="F1173" s="14">
        <v>0</v>
      </c>
      <c r="G1173" s="14">
        <v>200.0000</v>
      </c>
      <c r="H1173" s="14">
        <v>0</v>
      </c>
      <c r="I1173" s="14">
        <v>200.0000</v>
      </c>
      <c r="J1173" s="13" t="s">
        <v>46</v>
      </c>
    </row>
    <row r="1174" ht="10.95" customHeight="true" customFormat="true" s="8">
      <c r="A1174" s="12">
        <v>46032</v>
      </c>
      <c r="B1174" s="13" t="s">
        <v>36</v>
      </c>
      <c r="C1174" s="13" t="s">
        <v>1311</v>
      </c>
      <c r="D1174" s="13" t="s">
        <v>1312</v>
      </c>
      <c r="E1174" s="13" t="s">
        <v>16</v>
      </c>
      <c r="F1174" s="14">
        <v>0</v>
      </c>
      <c r="G1174" s="14">
        <v>764.1300</v>
      </c>
      <c r="H1174" s="14">
        <v>0</v>
      </c>
      <c r="I1174" s="14">
        <v>764.1300</v>
      </c>
      <c r="J1174" s="13" t="s">
        <v>46</v>
      </c>
    </row>
    <row r="1175" ht="10.95" customHeight="true" customFormat="true" s="8">
      <c r="A1175" s="15" t="s">
        <v>1313</v>
      </c>
      <c r="B1175" s="15"/>
      <c r="C1175" s="15"/>
      <c r="D1175" s="15"/>
      <c r="E1175" s="15"/>
      <c r="F1175" s="16">
        <f ca="1">SUM(F1165:F1174)</f>
        <v>0</v>
      </c>
      <c r="G1175" s="16">
        <f ca="1">SUM(G1165:G1174)</f>
        <v>0</v>
      </c>
      <c r="H1175" s="16">
        <f ca="1">SUM(H1165:H1174)</f>
        <v>0</v>
      </c>
      <c r="I1175" s="16">
        <f ca="1">SUM(I1165:I1174)</f>
        <v>0</v>
      </c>
      <c r="J1175" s="15"/>
    </row>
    <row r="1176" ht="13.35" customHeight="true"/>
    <row r="1177" ht="12.1" customHeight="true" customFormat="true" s="5">
      <c r="A1177" s="17" t="s">
        <v>1314</v>
      </c>
      <c r="B1177" s="17"/>
      <c r="C1177" s="17"/>
      <c r="D1177" s="17"/>
      <c r="E1177" s="17"/>
      <c r="F1177" s="17"/>
      <c r="G1177" s="17"/>
      <c r="H1177" s="17"/>
      <c r="I1177" s="17"/>
      <c r="J1177" s="17"/>
    </row>
    <row r="1178" ht="10.95" customHeight="true" customFormat="true" s="8">
      <c r="A1178" s="9">
        <v>45390</v>
      </c>
      <c r="B1178" s="10" t="s">
        <v>36</v>
      </c>
      <c r="C1178" s="10" t="s">
        <v>1315</v>
      </c>
      <c r="D1178" s="10" t="s">
        <v>1316</v>
      </c>
      <c r="E1178" s="10" t="s">
        <v>16</v>
      </c>
      <c r="F1178" s="11">
        <v>0</v>
      </c>
      <c r="G1178" s="11">
        <v>100.0000</v>
      </c>
      <c r="H1178" s="11">
        <v>0</v>
      </c>
      <c r="I1178" s="11">
        <v>100.0000</v>
      </c>
      <c r="J1178" s="10" t="s">
        <v>41</v>
      </c>
    </row>
    <row r="1179" ht="10.95" customHeight="true" customFormat="true" s="8">
      <c r="A1179" s="15" t="s">
        <v>1317</v>
      </c>
      <c r="B1179" s="15"/>
      <c r="C1179" s="15"/>
      <c r="D1179" s="15"/>
      <c r="E1179" s="15"/>
      <c r="F1179" s="16">
        <f ca="1">F1178</f>
        <v>0</v>
      </c>
      <c r="G1179" s="16">
        <f ca="1">G1178</f>
        <v>0</v>
      </c>
      <c r="H1179" s="16">
        <f ca="1">H1178</f>
        <v>0</v>
      </c>
      <c r="I1179" s="16">
        <f ca="1">I1178</f>
        <v>0</v>
      </c>
      <c r="J1179" s="15"/>
    </row>
    <row r="1180" ht="13.35" customHeight="true"/>
    <row r="1181" ht="12.1" customHeight="true" customFormat="true" s="5">
      <c r="A1181" s="17" t="s">
        <v>1318</v>
      </c>
      <c r="B1181" s="17"/>
      <c r="C1181" s="17"/>
      <c r="D1181" s="17"/>
      <c r="E1181" s="17"/>
      <c r="F1181" s="17"/>
      <c r="G1181" s="17"/>
      <c r="H1181" s="17"/>
      <c r="I1181" s="17"/>
      <c r="J1181" s="17"/>
    </row>
    <row r="1182" ht="10.95" customHeight="true" customFormat="true" s="8">
      <c r="A1182" s="9">
        <v>45912</v>
      </c>
      <c r="B1182" s="10" t="s">
        <v>36</v>
      </c>
      <c r="C1182" s="10" t="s">
        <v>1319</v>
      </c>
      <c r="D1182" s="10" t="s">
        <v>1320</v>
      </c>
      <c r="E1182" s="10" t="s">
        <v>16</v>
      </c>
      <c r="F1182" s="11">
        <v>0</v>
      </c>
      <c r="G1182" s="11">
        <v>246.5000</v>
      </c>
      <c r="H1182" s="11">
        <v>0</v>
      </c>
      <c r="I1182" s="11">
        <v>246.5000</v>
      </c>
      <c r="J1182" s="10" t="s">
        <v>46</v>
      </c>
    </row>
    <row r="1183" ht="10.95" customHeight="true" customFormat="true" s="8">
      <c r="A1183" s="12">
        <v>45912</v>
      </c>
      <c r="B1183" s="13" t="s">
        <v>36</v>
      </c>
      <c r="C1183" s="13" t="s">
        <v>1321</v>
      </c>
      <c r="D1183" s="13" t="s">
        <v>1320</v>
      </c>
      <c r="E1183" s="13" t="s">
        <v>16</v>
      </c>
      <c r="F1183" s="14">
        <v>0</v>
      </c>
      <c r="G1183" s="14">
        <v>4165.2000</v>
      </c>
      <c r="H1183" s="14">
        <v>0</v>
      </c>
      <c r="I1183" s="14">
        <v>4165.2000</v>
      </c>
      <c r="J1183" s="13" t="s">
        <v>46</v>
      </c>
    </row>
    <row r="1184" ht="10.95" customHeight="true" customFormat="true" s="8">
      <c r="A1184" s="15" t="s">
        <v>1322</v>
      </c>
      <c r="B1184" s="15"/>
      <c r="C1184" s="15"/>
      <c r="D1184" s="15"/>
      <c r="E1184" s="15"/>
      <c r="F1184" s="16">
        <f ca="1">SUM(F1182:F1183)</f>
        <v>0</v>
      </c>
      <c r="G1184" s="16">
        <f ca="1">SUM(G1182:G1183)</f>
        <v>0</v>
      </c>
      <c r="H1184" s="16">
        <f ca="1">SUM(H1182:H1183)</f>
        <v>0</v>
      </c>
      <c r="I1184" s="16">
        <f ca="1">SUM(I1182:I1183)</f>
        <v>0</v>
      </c>
      <c r="J1184" s="15"/>
    </row>
    <row r="1185" ht="13.35" customHeight="true"/>
    <row r="1186" ht="12.1" customHeight="true" customFormat="true" s="5">
      <c r="A1186" s="17" t="s">
        <v>1323</v>
      </c>
      <c r="B1186" s="17"/>
      <c r="C1186" s="17"/>
      <c r="D1186" s="17"/>
      <c r="E1186" s="17"/>
      <c r="F1186" s="17"/>
      <c r="G1186" s="17"/>
      <c r="H1186" s="17"/>
      <c r="I1186" s="17"/>
      <c r="J1186" s="17"/>
    </row>
    <row r="1187" ht="10.95" customHeight="true" customFormat="true" s="8">
      <c r="A1187" s="9">
        <v>45411</v>
      </c>
      <c r="B1187" s="10" t="s">
        <v>36</v>
      </c>
      <c r="C1187" s="10" t="s">
        <v>1324</v>
      </c>
      <c r="D1187" s="10" t="s">
        <v>1325</v>
      </c>
      <c r="E1187" s="10" t="s">
        <v>16</v>
      </c>
      <c r="F1187" s="11">
        <v>0</v>
      </c>
      <c r="G1187" s="11">
        <v>1500.0000</v>
      </c>
      <c r="H1187" s="11">
        <v>0</v>
      </c>
      <c r="I1187" s="11">
        <v>1500.0000</v>
      </c>
      <c r="J1187" s="10" t="s">
        <v>268</v>
      </c>
    </row>
    <row r="1188" ht="10.95" customHeight="true" customFormat="true" s="8">
      <c r="A1188" s="12">
        <v>45422</v>
      </c>
      <c r="B1188" s="13" t="s">
        <v>36</v>
      </c>
      <c r="C1188" s="13" t="s">
        <v>1326</v>
      </c>
      <c r="D1188" s="13" t="s">
        <v>1327</v>
      </c>
      <c r="E1188" s="13" t="s">
        <v>16</v>
      </c>
      <c r="F1188" s="14">
        <v>0</v>
      </c>
      <c r="G1188" s="14">
        <v>5250.0000</v>
      </c>
      <c r="H1188" s="14">
        <v>0</v>
      </c>
      <c r="I1188" s="14">
        <v>5250.0000</v>
      </c>
      <c r="J1188" s="13" t="s">
        <v>268</v>
      </c>
    </row>
    <row r="1189" ht="10.95" customHeight="true" customFormat="true" s="8">
      <c r="A1189" s="12">
        <v>45427</v>
      </c>
      <c r="B1189" s="13" t="s">
        <v>36</v>
      </c>
      <c r="C1189" s="13" t="s">
        <v>1326</v>
      </c>
      <c r="D1189" s="13" t="s">
        <v>1328</v>
      </c>
      <c r="E1189" s="13" t="s">
        <v>16</v>
      </c>
      <c r="F1189" s="14">
        <v>0</v>
      </c>
      <c r="G1189" s="14">
        <v>7780.3400</v>
      </c>
      <c r="H1189" s="14">
        <v>0</v>
      </c>
      <c r="I1189" s="14">
        <v>7780.3400</v>
      </c>
      <c r="J1189" s="13" t="s">
        <v>268</v>
      </c>
    </row>
    <row r="1190" ht="10.95" customHeight="true" customFormat="true" s="8">
      <c r="A1190" s="12">
        <v>45427</v>
      </c>
      <c r="B1190" s="13" t="s">
        <v>36</v>
      </c>
      <c r="C1190" s="13" t="s">
        <v>1329</v>
      </c>
      <c r="D1190" s="13" t="s">
        <v>1328</v>
      </c>
      <c r="E1190" s="13" t="s">
        <v>16</v>
      </c>
      <c r="F1190" s="14">
        <v>0</v>
      </c>
      <c r="G1190" s="14">
        <v>1084.5400</v>
      </c>
      <c r="H1190" s="14">
        <v>0</v>
      </c>
      <c r="I1190" s="14">
        <v>1084.5400</v>
      </c>
      <c r="J1190" s="13" t="s">
        <v>268</v>
      </c>
    </row>
    <row r="1191" ht="10.95" customHeight="true" customFormat="true" s="8">
      <c r="A1191" s="12">
        <v>45427</v>
      </c>
      <c r="B1191" s="13" t="s">
        <v>36</v>
      </c>
      <c r="C1191" s="13" t="s">
        <v>1330</v>
      </c>
      <c r="D1191" s="13" t="s">
        <v>1328</v>
      </c>
      <c r="E1191" s="13" t="s">
        <v>16</v>
      </c>
      <c r="F1191" s="14">
        <v>0</v>
      </c>
      <c r="G1191" s="14">
        <v>3942.0500</v>
      </c>
      <c r="H1191" s="14">
        <v>0</v>
      </c>
      <c r="I1191" s="14">
        <v>3942.0500</v>
      </c>
      <c r="J1191" s="13" t="s">
        <v>268</v>
      </c>
    </row>
    <row r="1192" ht="10.95" customHeight="true" customFormat="true" s="8">
      <c r="A1192" s="12">
        <v>45427</v>
      </c>
      <c r="B1192" s="13" t="s">
        <v>36</v>
      </c>
      <c r="C1192" s="13" t="s">
        <v>1331</v>
      </c>
      <c r="D1192" s="13" t="s">
        <v>1328</v>
      </c>
      <c r="E1192" s="13" t="s">
        <v>16</v>
      </c>
      <c r="F1192" s="14">
        <v>0</v>
      </c>
      <c r="G1192" s="14">
        <v>235.7700</v>
      </c>
      <c r="H1192" s="14">
        <v>0</v>
      </c>
      <c r="I1192" s="14">
        <v>235.7700</v>
      </c>
      <c r="J1192" s="13" t="s">
        <v>268</v>
      </c>
    </row>
    <row r="1193" ht="10.95" customHeight="true" customFormat="true" s="8">
      <c r="A1193" s="12">
        <v>45427</v>
      </c>
      <c r="B1193" s="13" t="s">
        <v>36</v>
      </c>
      <c r="C1193" s="13" t="s">
        <v>1332</v>
      </c>
      <c r="D1193" s="13" t="s">
        <v>1328</v>
      </c>
      <c r="E1193" s="13" t="s">
        <v>16</v>
      </c>
      <c r="F1193" s="14">
        <v>0</v>
      </c>
      <c r="G1193" s="14">
        <v>874.6000</v>
      </c>
      <c r="H1193" s="14">
        <v>0</v>
      </c>
      <c r="I1193" s="14">
        <v>874.6000</v>
      </c>
      <c r="J1193" s="13" t="s">
        <v>268</v>
      </c>
    </row>
    <row r="1194" ht="10.95" customHeight="true" customFormat="true" s="8">
      <c r="A1194" s="15" t="s">
        <v>1333</v>
      </c>
      <c r="B1194" s="15"/>
      <c r="C1194" s="15"/>
      <c r="D1194" s="15"/>
      <c r="E1194" s="15"/>
      <c r="F1194" s="16">
        <f ca="1">SUM(F1187:F1193)</f>
        <v>0</v>
      </c>
      <c r="G1194" s="16">
        <f ca="1">SUM(G1187:G1193)</f>
        <v>0</v>
      </c>
      <c r="H1194" s="16">
        <f ca="1">SUM(H1187:H1193)</f>
        <v>0</v>
      </c>
      <c r="I1194" s="16">
        <f ca="1">SUM(I1187:I1193)</f>
        <v>0</v>
      </c>
      <c r="J1194" s="15"/>
    </row>
    <row r="1195" ht="13.35" customHeight="true"/>
    <row r="1196" ht="12.1" customHeight="true" customFormat="true" s="5">
      <c r="A1196" s="17" t="s">
        <v>1334</v>
      </c>
      <c r="B1196" s="17"/>
      <c r="C1196" s="17"/>
      <c r="D1196" s="17"/>
      <c r="E1196" s="17"/>
      <c r="F1196" s="17"/>
      <c r="G1196" s="17"/>
      <c r="H1196" s="17"/>
      <c r="I1196" s="17"/>
      <c r="J1196" s="17"/>
    </row>
    <row r="1197" ht="10.95" customHeight="true" customFormat="true" s="8">
      <c r="A1197" s="9">
        <v>45713</v>
      </c>
      <c r="B1197" s="10" t="s">
        <v>36</v>
      </c>
      <c r="C1197" s="10" t="s">
        <v>1335</v>
      </c>
      <c r="D1197" s="10" t="s">
        <v>1336</v>
      </c>
      <c r="E1197" s="10" t="s">
        <v>16</v>
      </c>
      <c r="F1197" s="11">
        <v>0</v>
      </c>
      <c r="G1197" s="11">
        <v>35134.2000</v>
      </c>
      <c r="H1197" s="11">
        <v>0</v>
      </c>
      <c r="I1197" s="11">
        <v>35134.2000</v>
      </c>
      <c r="J1197" s="10" t="s">
        <v>20</v>
      </c>
    </row>
    <row r="1198" ht="10.95" customHeight="true" customFormat="true" s="8">
      <c r="A1198" s="15" t="s">
        <v>1337</v>
      </c>
      <c r="B1198" s="15"/>
      <c r="C1198" s="15"/>
      <c r="D1198" s="15"/>
      <c r="E1198" s="15"/>
      <c r="F1198" s="16">
        <f ca="1">F1197</f>
        <v>0</v>
      </c>
      <c r="G1198" s="16">
        <f ca="1">G1197</f>
        <v>0</v>
      </c>
      <c r="H1198" s="16">
        <f ca="1">H1197</f>
        <v>0</v>
      </c>
      <c r="I1198" s="16">
        <f ca="1">I1197</f>
        <v>0</v>
      </c>
      <c r="J1198" s="15"/>
    </row>
    <row r="1199" ht="13.35" customHeight="true"/>
    <row r="1200" ht="10.95" customHeight="true" customFormat="true" s="8">
      <c r="A1200" s="20" t="s">
        <v>34</v>
      </c>
      <c r="B1200" s="20"/>
      <c r="C1200" s="20"/>
      <c r="D1200" s="20"/>
      <c r="E1200" s="20"/>
      <c r="F1200" s="21">
        <f ca="1">SUM(F28,F37,F41,F52,F58,F63,F67,F87,F93,F98,F102,F107,F118,F128,F134,F176,F180,F188,F198,F202,F207,F217,F221,F225,F229,F238,F244,F249,F262,F266,F313,F318,F322,F327,F331,F358,F362,F367,F371,F378,F388,F402,F406,F410,F415,F434,F440,F444,F448,F452,F457,F461,F465,F470,F474,F493,F513,F517,F522,F526,F531,F535,F592,F625,F634,F640,F645,F680,F686,F690,F694,F701,F705,F711,F716,F727,F731,F742,F747,F751,F755,F759,F766,F770,F774,F790,F796,F801,F806,F810,F814,F818,F822,F826,F831,F837,F846,F851,F855,F859,F867,F871,F880,F889,F894,F898,F905,F911,F923,F927,F939,F944,F951,F963,F967,F972,F979,F984,F994,F999,F1003,F1008,F1012,F1030,F1034,F1044,F1048,F1052,F1056,F1061,F1065,F1071,F1075,F1079,F1085,F1089,F1093,F1098,F1102,F1106,F1118,F1122,F1126,F1130,F1134,F1138,F1144,F1152,F1157,F1162,F1175,F1179,F1184,F1194,F1198)</f>
        <v>0</v>
      </c>
      <c r="G1200" s="21">
        <f ca="1">SUM(G28,G37,G41,G52,G58,G63,G67,G87,G93,G98,G102,G107,G118,G128,G134,G176,G180,G188,G198,G202,G207,G217,G221,G225,G229,G238,G244,G249,G262,G266,G313,G318,G322,G327,G331,G358,G362,G367,G371,G378,G388,G402,G406,G410,G415,G434,G440,G444,G448,G452,G457,G461,G465,G470,G474,G493,G513,G517,G522,G526,G531,G535,G592,G625,G634,G640,G645,G680,G686,G690,G694,G701,G705,G711,G716,G727,G731,G742,G747,G751,G755,G759,G766,G770,G774,G790,G796,G801,G806,G810,G814,G818,G822,G826,G831,G837,G846,G851,G855,G859,G867,G871,G880,G889,G894,G898,G905,G911,G923,G927,G939,G944,G951,G963,G967,G972,G979,G984,G994,G999,G1003,G1008,G1012,G1030,G1034,G1044,G1048,G1052,G1056,G1061,G1065,G1071,G1075,G1079,G1085,G1089,G1093,G1098,G1102,G1106,G1118,G1122,G1126,G1130,G1134,G1138,G1144,G1152,G1157,G1162,G1175,G1179,G1184,G1194,G1198)</f>
        <v>0</v>
      </c>
      <c r="H1200" s="21">
        <f ca="1">SUM(H28,H37,H41,H52,H58,H63,H67,H87,H93,H98,H102,H107,H118,H128,H134,H176,H180,H188,H198,H202,H207,H217,H221,H225,H229,H238,H244,H249,H262,H266,H313,H318,H322,H327,H331,H358,H362,H367,H371,H378,H388,H402,H406,H410,H415,H434,H440,H444,H448,H452,H457,H461,H465,H470,H474,H493,H513,H517,H522,H526,H531,H535,H592,H625,H634,H640,H645,H680,H686,H690,H694,H701,H705,H711,H716,H727,H731,H742,H747,H751,H755,H759,H766,H770,H774,H790,H796,H801,H806,H810,H814,H818,H822,H826,H831,H837,H846,H851,H855,H859,H867,H871,H880,H889,H894,H898,H905,H911,H923,H927,H939,H944,H951,H963,H967,H972,H979,H984,H994,H999,H1003,H1008,H1012,H1030,H1034,H1044,H1048,H1052,H1056,H1061,H1065,H1071,H1075,H1079,H1085,H1089,H1093,H1098,H1102,H1106,H1118,H1122,H1126,H1130,H1134,H1138,H1144,H1152,H1157,H1162,H1175,H1179,H1184,H1194,H1198)</f>
        <v>0</v>
      </c>
      <c r="I1200" s="21">
        <f ca="1">SUM(I28,I37,I41,I52,I58,I63,I67,I87,I93,I98,I102,I107,I118,I128,I134,I176,I180,I188,I198,I202,I207,I217,I221,I225,I229,I238,I244,I249,I262,I266,I313,I318,I322,I327,I331,I358,I362,I367,I371,I378,I388,I402,I406,I410,I415,I434,I440,I444,I448,I452,I457,I461,I465,I470,I474,I493,I513,I517,I522,I526,I531,I535,I592,I625,I634,I640,I645,I680,I686,I690,I694,I701,I705,I711,I716,I727,I731,I742,I747,I751,I755,I759,I766,I770,I774,I790,I796,I801,I806,I810,I814,I818,I822,I826,I831,I837,I846,I851,I855,I859,I867,I871,I880,I889,I894,I898,I905,I911,I923,I927,I939,I944,I951,I963,I967,I972,I979,I984,I994,I999,I1003,I1008,I1012,I1030,I1034,I1044,I1048,I1052,I1056,I1061,I1065,I1071,I1075,I1079,I1085,I1089,I1093,I1098,I1102,I1106,I1118,I1122,I1126,I1130,I1134,I1138,I1144,I1152,I1157,I1162,I1175,I1179,I1184,I1194,I1198)</f>
        <v>0</v>
      </c>
      <c r="J1200" s="20"/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