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Account Transactions" sheetId="1" r:id="rId1"/>
  </sheets>
  <calcPr calcId="162913"/>
</workbook>
</file>

<file path=xl/sharedStrings.xml><?xml version="1.0" encoding="utf-8"?>
<sst xmlns="http://schemas.openxmlformats.org/spreadsheetml/2006/main" count="299" uniqueCount="299">
  <si>
    <t>Account Transactions</t>
  </si>
  <si>
    <t>Cinema Acoustic Treatment Systems Limited</t>
  </si>
  <si>
    <t>For the period 1 January 2016 to 31 August 2026</t>
  </si>
  <si>
    <t>Date</t>
  </si>
  <si>
    <t>Source</t>
  </si>
  <si>
    <t>Description</t>
  </si>
  <si>
    <t>Reference</t>
  </si>
  <si>
    <t>Currency</t>
  </si>
  <si>
    <t>Debit (Source)</t>
  </si>
  <si>
    <t>Credit (Source)</t>
  </si>
  <si>
    <t>Debit (GBP)</t>
  </si>
  <si>
    <t>Credit (GBP)</t>
  </si>
  <si>
    <t>Account</t>
  </si>
  <si>
    <t>Manual Journal</t>
  </si>
  <si>
    <t>Sales Accruals as at 29 Feb 2016 - Sales Accruals as at 29 Feb 2016</t>
  </si>
  <si>
    <t>#84</t>
  </si>
  <si>
    <t>GBP</t>
  </si>
  <si>
    <t>Sales - CATS Complete</t>
  </si>
  <si>
    <t>Reversal: Sales Accruals as at 29 Feb 2016 - Sales Accruals as at 29 Feb 2016</t>
  </si>
  <si>
    <t>#83</t>
  </si>
  <si>
    <t>To write off suspense - To write off suspense</t>
  </si>
  <si>
    <t>#1806</t>
  </si>
  <si>
    <t>Sales - C-ATS Reverberation</t>
  </si>
  <si>
    <t>Total</t>
  </si>
  <si>
    <t>Apex Tech Scotland Ltd</t>
  </si>
  <si>
    <t>Receivable Invoice</t>
  </si>
  <si>
    <t>Genesis Technologies Ltd - CATS Multipanel and Scattering Panel priced per sq m - Standard</t>
  </si>
  <si>
    <t>Cornflake Shop</t>
  </si>
  <si>
    <t>Genesis Technologies Ltd - Individual Units of CATS Packs</t>
  </si>
  <si>
    <t>INV-0013</t>
  </si>
  <si>
    <t>Sales - CATS Packs</t>
  </si>
  <si>
    <t>Cornflake</t>
  </si>
  <si>
    <t>Stock Catchup</t>
  </si>
  <si>
    <t>Genesis Technologies Limited - Individual Units of CATS Packs</t>
  </si>
  <si>
    <t>CSAV Packs</t>
  </si>
  <si>
    <t>PO-1822</t>
  </si>
  <si>
    <t>Jay Demo Pack</t>
  </si>
  <si>
    <t>Adept Packs</t>
  </si>
  <si>
    <t>PO-1848</t>
  </si>
  <si>
    <t>Genesis Technologies Ltd - CATS-Pack-CATS foamsorber 12x and CATS Scattering Panels 12x</t>
  </si>
  <si>
    <t>INV 2018/1431</t>
  </si>
  <si>
    <t>Sales - Design Services</t>
  </si>
  <si>
    <t>Genesis Technologies Ltd - C-ATS Reverberation Control Panel - 50mm</t>
  </si>
  <si>
    <t>INV 2018/1437</t>
  </si>
  <si>
    <t>Genesis Technologies Ltd - C-ATS Reflection Control Panel - 50mm</t>
  </si>
  <si>
    <t>INV 2018/1442</t>
  </si>
  <si>
    <t>INV 2018/1472</t>
  </si>
  <si>
    <t>Sales - C-ATS Reflection</t>
  </si>
  <si>
    <t>INV 2018/1488</t>
  </si>
  <si>
    <t>INV 2018/1497</t>
  </si>
  <si>
    <t>Genesis Technologies Ltd - C-ATS Packs</t>
  </si>
  <si>
    <t>INV 2018/1449</t>
  </si>
  <si>
    <t>INV 2018/1514</t>
  </si>
  <si>
    <t>PO-2033</t>
  </si>
  <si>
    <t>PO-2038</t>
  </si>
  <si>
    <t>PO-2053</t>
  </si>
  <si>
    <t>PO-2085</t>
  </si>
  <si>
    <t>Genesis Technologies Ltd - C-ATS Resonance Control Panel - 43mm - Quantity Purchase Price on 10 or more</t>
  </si>
  <si>
    <t>Sales - C-ATS Resonance</t>
  </si>
  <si>
    <t>PO-2098</t>
  </si>
  <si>
    <t>PO-2121</t>
  </si>
  <si>
    <t>PO-2160</t>
  </si>
  <si>
    <t>Apex Tech Scotland Ltd - C-ATS Reflection Control Panel - 50mm</t>
  </si>
  <si>
    <t>PO-2210</t>
  </si>
  <si>
    <t>Apex Tech Scotland Ltd - C-ATS Resonance Control Panel - 43mm</t>
  </si>
  <si>
    <t>Apex Tech Scotland Ltd - C-ATS Reverberation Control Panel - 50mm</t>
  </si>
  <si>
    <t>Apex Tech Scotland Ltd - C-ATS Design Service - Basic</t>
  </si>
  <si>
    <t>PO2205</t>
  </si>
  <si>
    <t>PO-2216</t>
  </si>
  <si>
    <t>PO-2359</t>
  </si>
  <si>
    <t>PO-2351</t>
  </si>
  <si>
    <t>PO-2389</t>
  </si>
  <si>
    <t>PO-2390</t>
  </si>
  <si>
    <t>Apex Tech Scotland Ltd - Bulk package discount (not boxed)</t>
  </si>
  <si>
    <t>Total Apex Tech Scotland Ltd</t>
  </si>
  <si>
    <t>Apex Technologies International</t>
  </si>
  <si>
    <t>Apex Technologies International - C-ATS Reflection Control Panel - 50mm</t>
  </si>
  <si>
    <t>Madrid</t>
  </si>
  <si>
    <t>PO-0002</t>
  </si>
  <si>
    <t>Apex Technologies International - C-ATS Reverberation Control Panel - 50mm</t>
  </si>
  <si>
    <t>PO-0005</t>
  </si>
  <si>
    <t>Apex Technologies International - C-ATS Resonance Control Panel - 43mm</t>
  </si>
  <si>
    <t>PO-0013</t>
  </si>
  <si>
    <t>PO-0015</t>
  </si>
  <si>
    <t>PO-0027</t>
  </si>
  <si>
    <t>1054</t>
  </si>
  <si>
    <t>PO0032</t>
  </si>
  <si>
    <t>Receivable Credit Note</t>
  </si>
  <si>
    <t>Apex Technologies International - To W/O invoices as per Neil's advice - Apex Tech International closed by voluntary strike off</t>
  </si>
  <si>
    <t>CN-0154</t>
  </si>
  <si>
    <t>Apex Technologies International - C-ATS REV-CP-CUSTOM reticulated foam reverberation panels</t>
  </si>
  <si>
    <t>PO-0035</t>
  </si>
  <si>
    <t>Total Apex Technologies International</t>
  </si>
  <si>
    <t>Apex Technologies US</t>
  </si>
  <si>
    <t>Apex Technologies - C-ATS Reflection Control Panel - 50mm</t>
  </si>
  <si>
    <t>PO-0021</t>
  </si>
  <si>
    <t>PO-0059</t>
  </si>
  <si>
    <t>Apex Technologies - C-ATS Reverberation Control Panel - 12mm</t>
  </si>
  <si>
    <t>PO-0014</t>
  </si>
  <si>
    <t>Apex Technologies - C-ATS Reverberation Control Panel - 50mm</t>
  </si>
  <si>
    <t>PO-0092</t>
  </si>
  <si>
    <t>Apex Technologies - C-ATS Resonance Control Panel - 43mm</t>
  </si>
  <si>
    <t>PO0087</t>
  </si>
  <si>
    <t>PO0166</t>
  </si>
  <si>
    <t>PO-0221</t>
  </si>
  <si>
    <t>PO-0281</t>
  </si>
  <si>
    <t>PO-0286</t>
  </si>
  <si>
    <t>PO-0316</t>
  </si>
  <si>
    <t>Apex Technologies US - C-ATS Reflection Control Panel - 50mm</t>
  </si>
  <si>
    <t>PO-0595</t>
  </si>
  <si>
    <t>Apex Technologies US - C-ATS Reverberation Control Panel - 50mm</t>
  </si>
  <si>
    <t>Apex Technologies US - C-ATS Resonance Control Panel - 43mm</t>
  </si>
  <si>
    <t>PO-0605</t>
  </si>
  <si>
    <t>Apex Technologies US - C-ATS Reverberation Control Panel - 12mm</t>
  </si>
  <si>
    <t>PO-0609</t>
  </si>
  <si>
    <t>PO-0647</t>
  </si>
  <si>
    <t>PO-0665</t>
  </si>
  <si>
    <t>PO-0813</t>
  </si>
  <si>
    <t>PO-1520</t>
  </si>
  <si>
    <t>PO-1636</t>
  </si>
  <si>
    <t>PO-1649</t>
  </si>
  <si>
    <t>PO-1844</t>
  </si>
  <si>
    <t>Total Apex Technologies US</t>
  </si>
  <si>
    <t>Community UK Limited - T/A CUK Group</t>
  </si>
  <si>
    <t>CUK - C-ATS Reverberation Control Panel - 50mm</t>
  </si>
  <si>
    <t>CUK Demo Rooms</t>
  </si>
  <si>
    <t>CUK - C-ATS Resonance Control Panel - 43mm</t>
  </si>
  <si>
    <t>CUK - C-ATS Reflection Control Panel - 50mm</t>
  </si>
  <si>
    <t>Total Community UK Limited - T/A CUK Group</t>
  </si>
  <si>
    <t>DVACO GROUP</t>
  </si>
  <si>
    <t>DVACO GROUP - Individual Units of CATS Packs</t>
  </si>
  <si>
    <t>Per Anita Email</t>
  </si>
  <si>
    <t>Total DVACO GROUP</t>
  </si>
  <si>
    <t>Fabio Gabrieli</t>
  </si>
  <si>
    <t>Fabio Gabrieli - Individual Units of CATS Packs</t>
  </si>
  <si>
    <t>Home Cinema</t>
  </si>
  <si>
    <t>Total Fabio Gabrieli</t>
  </si>
  <si>
    <t>Genesis Home Technologies SL</t>
  </si>
  <si>
    <t>Genesis Home Technologies SL - C-ATS Reflection Control Panel - 50mm - Quantity Purchase Price on 10 or more</t>
  </si>
  <si>
    <t>PO21SEU-0052</t>
  </si>
  <si>
    <t>INV-0085</t>
  </si>
  <si>
    <t>Total Genesis Home Technologies SL</t>
  </si>
  <si>
    <t>Genesis Technologies AG</t>
  </si>
  <si>
    <t>Genesis Technologies AG - Shipping - Initial 15 packs</t>
  </si>
  <si>
    <t>TBC</t>
  </si>
  <si>
    <t>Other Revenue</t>
  </si>
  <si>
    <t>Genesis Technologies AG - Pallet Quantity of CATS Packs – 24 Units</t>
  </si>
  <si>
    <t>Genesis Technologies AG - Acoustic treatment design services - Standard</t>
  </si>
  <si>
    <t>Kino Libra</t>
  </si>
  <si>
    <t>Kino Zug</t>
  </si>
  <si>
    <t>Genesis Technologies AG - C-ATS Reverberation Control Panel - 50mm</t>
  </si>
  <si>
    <t>PO486</t>
  </si>
  <si>
    <t>Genesis Technologies AG - C-ATS Reflection Control Panel - 50mm</t>
  </si>
  <si>
    <t>Total Genesis Technologies AG</t>
  </si>
  <si>
    <t>Genesis Technologies AG (Deutschland)</t>
  </si>
  <si>
    <t>Genesis Technologies AG (Deutschland) - Acoustic treatment design services - Premium</t>
  </si>
  <si>
    <t>Project Thunder Cinema</t>
  </si>
  <si>
    <t>Genesis Technologies AG (Deutschland) - CATS Multipanel and Scattering Panel priced per sq m - Standard</t>
  </si>
  <si>
    <t>PO 20170523-10017</t>
  </si>
  <si>
    <t xml:space="preserve">Genesis Technologies AG (Deutschland) - Scattering Panels </t>
  </si>
  <si>
    <t>Genesis Technologies AG (Deutschland) - Discount</t>
  </si>
  <si>
    <t xml:space="preserve">Genesis Technologies AG (Deutschland) - CATS-REV-CP-50
C-ATS Reverberation Control Panel - 50mm 
</t>
  </si>
  <si>
    <t>PO74</t>
  </si>
  <si>
    <t xml:space="preserve">Genesis Technologies AG (Deutschland) - CATS-REF-CP
C-ATS Reflection Control Panel - 50mm
</t>
  </si>
  <si>
    <t xml:space="preserve">Genesis Technologies AG (Deutschland) - CATS-REV-CP-50-Q
C-ATS Reverberation Control Panel - 50mm
Quantity Purchase Price on 10 or more 
</t>
  </si>
  <si>
    <t>PO94</t>
  </si>
  <si>
    <t xml:space="preserve">Genesis Technologies AG (Deutschland) - CATS-REF-CP-Q
C-ATS Reflection Control Panel - 50mm
Quantity Purchase Price on 10 or more 
</t>
  </si>
  <si>
    <t>Genesis Technologies AG (Deutschland) - C-ATS Reverberation Control Panel - 50mm</t>
  </si>
  <si>
    <t>PO-110</t>
  </si>
  <si>
    <t>Genesis Technologies AG (Deutschland) - C-ATS Reflection Control Panel - 50mm</t>
  </si>
  <si>
    <t>Genesis Technologies AG (Deutschland) - C-ATS Design Service - Basic</t>
  </si>
  <si>
    <t>Genesis Technologies AG (Deutschland) - C-ATS Resonance Control Panel - 43mm</t>
  </si>
  <si>
    <t>PO128</t>
  </si>
  <si>
    <t>De Opera Design</t>
  </si>
  <si>
    <t>PO190</t>
  </si>
  <si>
    <t>Total Genesis Technologies AG (Deutschland)</t>
  </si>
  <si>
    <t>Meridian America Inc</t>
  </si>
  <si>
    <t>Meridian America Inc - Individual Units of CATS Packs</t>
  </si>
  <si>
    <t>PO 4662</t>
  </si>
  <si>
    <t>Meridian America Inc - Rounding correction</t>
  </si>
  <si>
    <t>Meridian America Inc - Pallet Quantity of CATS Packs – 24 Units</t>
  </si>
  <si>
    <t>PO4806</t>
  </si>
  <si>
    <t>Meridian America Inc - 12 units cats scattering panels</t>
  </si>
  <si>
    <t>INV-0021</t>
  </si>
  <si>
    <t>PO 4840</t>
  </si>
  <si>
    <t>PO4865</t>
  </si>
  <si>
    <t>PO 4889</t>
  </si>
  <si>
    <t>INV-0025</t>
  </si>
  <si>
    <t>PO4969</t>
  </si>
  <si>
    <t>PO4979</t>
  </si>
  <si>
    <t>PO5033</t>
  </si>
  <si>
    <t>PO-5056</t>
  </si>
  <si>
    <t>PO5195</t>
  </si>
  <si>
    <t>PO 5271</t>
  </si>
  <si>
    <t>PO 5219</t>
  </si>
  <si>
    <t>Per Agreement with Ryan</t>
  </si>
  <si>
    <t>PO5333</t>
  </si>
  <si>
    <t>Meridian America Inc - C-ATS Reverberation Control Panel - 50mm</t>
  </si>
  <si>
    <t>PO 5381</t>
  </si>
  <si>
    <t>Meridian America Inc - C-ATS Reflection Control Panel - 50mm</t>
  </si>
  <si>
    <t>PO5409</t>
  </si>
  <si>
    <t>Total Meridian America Inc</t>
  </si>
  <si>
    <t>Meridian Audio Ltd</t>
  </si>
  <si>
    <t>Meridian Audio Ltd - Individual Units of CATS Packs</t>
  </si>
  <si>
    <t>Demo CATS Packs</t>
  </si>
  <si>
    <t>Meridian Audio Ltd - Meridian demo discount price is £176 per box. £84 discount per CATS Packs box to be applied.</t>
  </si>
  <si>
    <t>PO 48898</t>
  </si>
  <si>
    <t>PO 49166</t>
  </si>
  <si>
    <t>Meridian Audio Ltd - Pallet Quantity of CATS Packs – 24 Units</t>
  </si>
  <si>
    <t>PO 50518</t>
  </si>
  <si>
    <t>54406</t>
  </si>
  <si>
    <t>PO55879</t>
  </si>
  <si>
    <t>PO56680</t>
  </si>
  <si>
    <t>PO56893</t>
  </si>
  <si>
    <t>PO56918</t>
  </si>
  <si>
    <t>Meridian Audio Ltd - C-ATS Reflection Control Panel - 50mm</t>
  </si>
  <si>
    <t>PO 57126</t>
  </si>
  <si>
    <t>Meridian Audio Ltd - C-ATS Reverberation Control Panel - 50mm</t>
  </si>
  <si>
    <t>PO57187</t>
  </si>
  <si>
    <t>PO 57258</t>
  </si>
  <si>
    <t>PO 58210</t>
  </si>
  <si>
    <t>Meridian Audio Ltd - C-ATS Reflection Control Panel - 50mm - Quantity Purchase Price on 10 or more</t>
  </si>
  <si>
    <t>PO 58217</t>
  </si>
  <si>
    <t>Meridian Audio Ltd - C-ATS Reverberation Control Panel - 50mm  - Quantity Purchase Price on 10 or more</t>
  </si>
  <si>
    <t>PO 059521</t>
  </si>
  <si>
    <t>PO 060251</t>
  </si>
  <si>
    <t>PO 060343</t>
  </si>
  <si>
    <t>061147</t>
  </si>
  <si>
    <t>061145</t>
  </si>
  <si>
    <t>PO 061447</t>
  </si>
  <si>
    <t>PO 062114</t>
  </si>
  <si>
    <t>PO 062249</t>
  </si>
  <si>
    <t>063008</t>
  </si>
  <si>
    <t>063156</t>
  </si>
  <si>
    <t>063371</t>
  </si>
  <si>
    <t>063724</t>
  </si>
  <si>
    <t>PO64418</t>
  </si>
  <si>
    <t>Total Meridian Audio Ltd</t>
  </si>
  <si>
    <t>Mitchell Building Contractors</t>
  </si>
  <si>
    <t>Mitchell Building Contractors - C-ATS Design Service - Basic</t>
  </si>
  <si>
    <t>Rocher Rouge Design</t>
  </si>
  <si>
    <t>Total Mitchell Building Contractors</t>
  </si>
  <si>
    <t>Prestige Distribution France</t>
  </si>
  <si>
    <t>Prestige Distribution France - C-ATS Reflection Control Panel - 50mm</t>
  </si>
  <si>
    <t>PO12159</t>
  </si>
  <si>
    <t>Prestige Distribution France - C-ATS Reverberation Control Panel - 50mm</t>
  </si>
  <si>
    <t>Total Prestige Distribution France</t>
  </si>
  <si>
    <t>Qualtron GmbH</t>
  </si>
  <si>
    <t>Qualtron GmbH - Acoustic Analysis and Report</t>
  </si>
  <si>
    <t>SuperYachtA</t>
  </si>
  <si>
    <t>Qualtron GmbH - Additional Analysis and Report Services</t>
  </si>
  <si>
    <t>Qualtron GmbH - Related Expenses - Flights and Airport Services</t>
  </si>
  <si>
    <t>Total Qualtron GmbH</t>
  </si>
  <si>
    <t>Resonics Ltd</t>
  </si>
  <si>
    <t>Resonics Ltd - C-ATS Reflection Control Panel - 50mm</t>
  </si>
  <si>
    <t>9417-201613</t>
  </si>
  <si>
    <t>Resonics Ltd - C-ATS Resonance Control Panel - 43mm</t>
  </si>
  <si>
    <t>Resonics Ltd - C-ATS Reverberation Control Panel - 50mm</t>
  </si>
  <si>
    <t>Total Resonics Ltd</t>
  </si>
  <si>
    <t>SRND Group Ltd</t>
  </si>
  <si>
    <t>SRND Group Ltd - C-ATS Resonance Control Panel - 43mm</t>
  </si>
  <si>
    <t>#SR241015</t>
  </si>
  <si>
    <t>SRND Group Ltd - C-ATS Reverberation Control Panel - 50mm</t>
  </si>
  <si>
    <t>SRND Group Ltd - C-ATS Reflection Control Panel - 50mm</t>
  </si>
  <si>
    <t>#SR241019</t>
  </si>
  <si>
    <t>#SR241031</t>
  </si>
  <si>
    <t>#SR241037</t>
  </si>
  <si>
    <t>#SR241036</t>
  </si>
  <si>
    <t>#SR241047</t>
  </si>
  <si>
    <t>#SR241049</t>
  </si>
  <si>
    <t>#SR241097</t>
  </si>
  <si>
    <t>#SR241087</t>
  </si>
  <si>
    <t>#SR241093</t>
  </si>
  <si>
    <t>#SR241129</t>
  </si>
  <si>
    <t>#SR241131</t>
  </si>
  <si>
    <t>#SR241133</t>
  </si>
  <si>
    <t>#SR241130</t>
  </si>
  <si>
    <t>#SR241132</t>
  </si>
  <si>
    <t>#SR241118</t>
  </si>
  <si>
    <t>#SR241128</t>
  </si>
  <si>
    <t>#SR241150</t>
  </si>
  <si>
    <t>#SR241154</t>
  </si>
  <si>
    <t>#SR241174</t>
  </si>
  <si>
    <t>#SR241178</t>
  </si>
  <si>
    <t>#SR241183</t>
  </si>
  <si>
    <t>#SR241209</t>
  </si>
  <si>
    <t>#SR241212</t>
  </si>
  <si>
    <t>SRND Group Ltd - Rev Foam Solution</t>
  </si>
  <si>
    <t>#SR241253 and 256</t>
  </si>
  <si>
    <t>#SR241223</t>
  </si>
  <si>
    <t>#SR241260</t>
  </si>
  <si>
    <t>#SR241230</t>
  </si>
  <si>
    <t>#SR241236</t>
  </si>
  <si>
    <t>#SR241269</t>
  </si>
  <si>
    <t>#SR241270</t>
  </si>
  <si>
    <t>#SR241303</t>
  </si>
  <si>
    <t>#SR241327</t>
  </si>
  <si>
    <t>#SR241343</t>
  </si>
  <si>
    <t>Total SRND Group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</si>
</sst>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 mmm yyyy"/>
    <numFmt numFmtId="165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164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vertical="center"/>
    </xf>
    <xf numFmtId="165" fontId="0" fillId="0" borderId="0" xfId="0" applyNumberFormat="true" applyFont="true" applyAlignment="true">
      <alignment horizontal="right" vertical="center"/>
    </xf>
    <xf numFmtId="164" fontId="0" fillId="0" borderId="2" xfId="0" applyNumberFormat="true" applyFont="true" applyBorder="true" applyAlignment="true">
      <alignment horizontal="left" vertical="center"/>
    </xf>
    <xf numFmtId="0" fontId="0" fillId="0" borderId="2" xfId="0" applyFont="true" applyBorder="true" applyAlignment="true">
      <alignment vertical="center"/>
    </xf>
    <xf numFmtId="165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5" fontId="6" fillId="0" borderId="2" xfId="0" applyNumberFormat="true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2" xfId="0" applyFont="true" applyBorder="true" applyAlignment="true">
      <alignment vertical="center" wrapText="true"/>
    </xf>
    <xf numFmtId="0" fontId="6" fillId="2" borderId="3" xfId="0" applyFont="true" applyFill="true" applyBorder="true" applyAlignment="true">
      <alignment vertical="center"/>
    </xf>
    <xf numFmtId="165" fontId="6" fillId="2" borderId="3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J324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47.66015625" customWidth="1"/>
    <col min="2" max="2" width="22" customWidth="1"/>
    <col min="3" max="3" width="100" customWidth="1"/>
    <col min="4" max="4" width="24.16015625" customWidth="1"/>
    <col min="5" max="5" width="11.33203125" customWidth="1"/>
    <col min="6" max="6" width="16.5" customWidth="1"/>
    <col min="7" max="7" width="17.5" customWidth="1"/>
    <col min="8" max="8" width="14.33203125" customWidth="1"/>
    <col min="9" max="9" width="15.33203125" customWidth="1"/>
    <col min="10" max="10" width="27.160156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6" t="s">
        <v>12</v>
      </c>
    </row>
    <row r="6" ht="10.95" customHeight="true" customFormat="true" s="8">
      <c r="A6" s="9">
        <v>42429</v>
      </c>
      <c r="B6" s="10" t="s">
        <v>13</v>
      </c>
      <c r="C6" s="10" t="s">
        <v>14</v>
      </c>
      <c r="D6" s="10" t="s">
        <v>15</v>
      </c>
      <c r="E6" s="10" t="s">
        <v>16</v>
      </c>
      <c r="F6" s="11">
        <v>0</v>
      </c>
      <c r="G6" s="11">
        <v>5250.0000</v>
      </c>
      <c r="H6" s="11">
        <v>0</v>
      </c>
      <c r="I6" s="11">
        <v>5250.0000</v>
      </c>
      <c r="J6" s="10" t="s">
        <v>17</v>
      </c>
    </row>
    <row r="7" ht="10.95" customHeight="true" customFormat="true" s="8">
      <c r="A7" s="12">
        <v>42430</v>
      </c>
      <c r="B7" s="13" t="s">
        <v>13</v>
      </c>
      <c r="C7" s="13" t="s">
        <v>18</v>
      </c>
      <c r="D7" s="13" t="s">
        <v>19</v>
      </c>
      <c r="E7" s="13" t="s">
        <v>16</v>
      </c>
      <c r="F7" s="14">
        <v>5250.0000</v>
      </c>
      <c r="G7" s="14">
        <v>0</v>
      </c>
      <c r="H7" s="14">
        <v>5250.0000</v>
      </c>
      <c r="I7" s="14">
        <v>0</v>
      </c>
      <c r="J7" s="13" t="s">
        <v>17</v>
      </c>
    </row>
    <row r="8" ht="10.95" customHeight="true" customFormat="true" s="8">
      <c r="A8" s="12">
        <v>45291</v>
      </c>
      <c r="B8" s="13" t="s">
        <v>13</v>
      </c>
      <c r="C8" s="13" t="s">
        <v>20</v>
      </c>
      <c r="D8" s="13" t="s">
        <v>21</v>
      </c>
      <c r="E8" s="13" t="s">
        <v>16</v>
      </c>
      <c r="F8" s="14">
        <v>814.7300</v>
      </c>
      <c r="G8" s="14">
        <v>0</v>
      </c>
      <c r="H8" s="14">
        <v>814.7300</v>
      </c>
      <c r="I8" s="14">
        <v>0</v>
      </c>
      <c r="J8" s="13" t="s">
        <v>22</v>
      </c>
    </row>
    <row r="9" ht="10.95" customHeight="true" customFormat="true" s="8">
      <c r="A9" s="15" t="s">
        <v>23</v>
      </c>
      <c r="B9" s="15"/>
      <c r="C9" s="15"/>
      <c r="D9" s="15"/>
      <c r="E9" s="15"/>
      <c r="F9" s="16">
        <f ca="1">SUM(F6:F8)</f>
        <v>0</v>
      </c>
      <c r="G9" s="16">
        <f ca="1">SUM(G6:G8)</f>
        <v>0</v>
      </c>
      <c r="H9" s="16">
        <f ca="1">SUM(H6:H8)</f>
        <v>0</v>
      </c>
      <c r="I9" s="16">
        <f ca="1">SUM(I6:I8)</f>
        <v>0</v>
      </c>
      <c r="J9" s="15"/>
    </row>
    <row r="10" ht="13.35" customHeight="true"/>
    <row r="11" ht="12.1" customHeight="true" customFormat="true" s="5">
      <c r="A11" s="17" t="s">
        <v>24</v>
      </c>
      <c r="B11" s="17"/>
      <c r="C11" s="17"/>
      <c r="D11" s="17"/>
      <c r="E11" s="17"/>
      <c r="F11" s="17"/>
      <c r="G11" s="17"/>
      <c r="H11" s="17"/>
      <c r="I11" s="17"/>
      <c r="J11" s="17"/>
    </row>
    <row r="12" ht="10.95" customHeight="true" customFormat="true" s="8">
      <c r="A12" s="9">
        <v>42437</v>
      </c>
      <c r="B12" s="10" t="s">
        <v>25</v>
      </c>
      <c r="C12" s="10" t="s">
        <v>26</v>
      </c>
      <c r="D12" s="10" t="s">
        <v>27</v>
      </c>
      <c r="E12" s="10" t="s">
        <v>16</v>
      </c>
      <c r="F12" s="11">
        <v>0</v>
      </c>
      <c r="G12" s="11">
        <v>5250.0000</v>
      </c>
      <c r="H12" s="11">
        <v>0</v>
      </c>
      <c r="I12" s="11">
        <v>5250.0000</v>
      </c>
      <c r="J12" s="10" t="s">
        <v>17</v>
      </c>
    </row>
    <row r="13" ht="10.95" customHeight="true" customFormat="true" s="8">
      <c r="A13" s="12">
        <v>42644</v>
      </c>
      <c r="B13" s="13" t="s">
        <v>25</v>
      </c>
      <c r="C13" s="13" t="s">
        <v>26</v>
      </c>
      <c r="D13" s="13" t="s">
        <v>27</v>
      </c>
      <c r="E13" s="13" t="s">
        <v>16</v>
      </c>
      <c r="F13" s="14">
        <v>0</v>
      </c>
      <c r="G13" s="14">
        <v>10875.0000</v>
      </c>
      <c r="H13" s="14">
        <v>0</v>
      </c>
      <c r="I13" s="14">
        <v>10875.0000</v>
      </c>
      <c r="J13" s="13" t="s">
        <v>17</v>
      </c>
    </row>
    <row r="14" ht="10.95" customHeight="true" customFormat="true" s="8">
      <c r="A14" s="12">
        <v>42804</v>
      </c>
      <c r="B14" s="13" t="s">
        <v>25</v>
      </c>
      <c r="C14" s="13" t="s">
        <v>28</v>
      </c>
      <c r="D14" s="13" t="s">
        <v>29</v>
      </c>
      <c r="E14" s="13" t="s">
        <v>16</v>
      </c>
      <c r="F14" s="14">
        <v>0</v>
      </c>
      <c r="G14" s="14">
        <v>1300.0000</v>
      </c>
      <c r="H14" s="14">
        <v>0</v>
      </c>
      <c r="I14" s="14">
        <v>1300.0000</v>
      </c>
      <c r="J14" s="13" t="s">
        <v>30</v>
      </c>
    </row>
    <row r="15" ht="10.95" customHeight="true" customFormat="true" s="8">
      <c r="A15" s="12">
        <v>43159</v>
      </c>
      <c r="B15" s="13" t="s">
        <v>25</v>
      </c>
      <c r="C15" s="13" t="s">
        <v>28</v>
      </c>
      <c r="D15" s="13" t="s">
        <v>31</v>
      </c>
      <c r="E15" s="13" t="s">
        <v>16</v>
      </c>
      <c r="F15" s="14">
        <v>0</v>
      </c>
      <c r="G15" s="14">
        <v>1300.0000</v>
      </c>
      <c r="H15" s="14">
        <v>0</v>
      </c>
      <c r="I15" s="14">
        <v>1300.0000</v>
      </c>
      <c r="J15" s="13" t="s">
        <v>30</v>
      </c>
    </row>
    <row r="16" ht="10.95" customHeight="true" customFormat="true" s="8">
      <c r="A16" s="12">
        <v>43265</v>
      </c>
      <c r="B16" s="13" t="s">
        <v>25</v>
      </c>
      <c r="C16" s="13" t="s">
        <v>28</v>
      </c>
      <c r="D16" s="13" t="s">
        <v>32</v>
      </c>
      <c r="E16" s="13" t="s">
        <v>16</v>
      </c>
      <c r="F16" s="14">
        <v>0</v>
      </c>
      <c r="G16" s="14">
        <v>1300.0000</v>
      </c>
      <c r="H16" s="14">
        <v>0</v>
      </c>
      <c r="I16" s="14">
        <v>1300.0000</v>
      </c>
      <c r="J16" s="13" t="s">
        <v>30</v>
      </c>
    </row>
    <row r="17" ht="10.95" customHeight="true" customFormat="true" s="8">
      <c r="A17" s="12">
        <v>43306</v>
      </c>
      <c r="B17" s="13" t="s">
        <v>25</v>
      </c>
      <c r="C17" s="13" t="s">
        <v>33</v>
      </c>
      <c r="D17" s="13" t="s">
        <v>34</v>
      </c>
      <c r="E17" s="13" t="s">
        <v>16</v>
      </c>
      <c r="F17" s="14">
        <v>0</v>
      </c>
      <c r="G17" s="14">
        <v>468.0000</v>
      </c>
      <c r="H17" s="14">
        <v>0</v>
      </c>
      <c r="I17" s="14">
        <v>468.0000</v>
      </c>
      <c r="J17" s="13" t="s">
        <v>30</v>
      </c>
    </row>
    <row r="18" ht="10.95" customHeight="true" customFormat="true" s="8">
      <c r="A18" s="12">
        <v>43374</v>
      </c>
      <c r="B18" s="13" t="s">
        <v>25</v>
      </c>
      <c r="C18" s="13" t="s">
        <v>28</v>
      </c>
      <c r="D18" s="13" t="s">
        <v>35</v>
      </c>
      <c r="E18" s="13" t="s">
        <v>16</v>
      </c>
      <c r="F18" s="14">
        <v>0</v>
      </c>
      <c r="G18" s="14">
        <v>936.0000</v>
      </c>
      <c r="H18" s="14">
        <v>0</v>
      </c>
      <c r="I18" s="14">
        <v>936.0000</v>
      </c>
      <c r="J18" s="13" t="s">
        <v>30</v>
      </c>
    </row>
    <row r="19" ht="10.95" customHeight="true" customFormat="true" s="8">
      <c r="A19" s="12">
        <v>43388</v>
      </c>
      <c r="B19" s="13" t="s">
        <v>25</v>
      </c>
      <c r="C19" s="13" t="s">
        <v>28</v>
      </c>
      <c r="D19" s="13" t="s">
        <v>36</v>
      </c>
      <c r="E19" s="13" t="s">
        <v>16</v>
      </c>
      <c r="F19" s="14">
        <v>0</v>
      </c>
      <c r="G19" s="14">
        <v>234.0000</v>
      </c>
      <c r="H19" s="14">
        <v>0</v>
      </c>
      <c r="I19" s="14">
        <v>234.0000</v>
      </c>
      <c r="J19" s="13" t="s">
        <v>30</v>
      </c>
    </row>
    <row r="20" ht="10.95" customHeight="true" customFormat="true" s="8">
      <c r="A20" s="12">
        <v>43388</v>
      </c>
      <c r="B20" s="13" t="s">
        <v>25</v>
      </c>
      <c r="C20" s="13" t="s">
        <v>28</v>
      </c>
      <c r="D20" s="13" t="s">
        <v>37</v>
      </c>
      <c r="E20" s="13" t="s">
        <v>16</v>
      </c>
      <c r="F20" s="14">
        <v>0</v>
      </c>
      <c r="G20" s="14">
        <v>520.0000</v>
      </c>
      <c r="H20" s="14">
        <v>0</v>
      </c>
      <c r="I20" s="14">
        <v>520.0000</v>
      </c>
      <c r="J20" s="13" t="s">
        <v>30</v>
      </c>
    </row>
    <row r="21" ht="10.95" customHeight="true" customFormat="true" s="8">
      <c r="A21" s="12">
        <v>43397</v>
      </c>
      <c r="B21" s="13" t="s">
        <v>25</v>
      </c>
      <c r="C21" s="13" t="s">
        <v>28</v>
      </c>
      <c r="D21" s="13" t="s">
        <v>38</v>
      </c>
      <c r="E21" s="13" t="s">
        <v>16</v>
      </c>
      <c r="F21" s="14">
        <v>0</v>
      </c>
      <c r="G21" s="14">
        <v>1300.0000</v>
      </c>
      <c r="H21" s="14">
        <v>0</v>
      </c>
      <c r="I21" s="14">
        <v>1300.0000</v>
      </c>
      <c r="J21" s="13" t="s">
        <v>30</v>
      </c>
    </row>
    <row r="22" ht="10.95" customHeight="true" customFormat="true" s="8">
      <c r="A22" s="12">
        <v>43710</v>
      </c>
      <c r="B22" s="13" t="s">
        <v>25</v>
      </c>
      <c r="C22" s="13" t="s">
        <v>39</v>
      </c>
      <c r="D22" s="13" t="s">
        <v>40</v>
      </c>
      <c r="E22" s="13" t="s">
        <v>16</v>
      </c>
      <c r="F22" s="14">
        <v>0</v>
      </c>
      <c r="G22" s="14">
        <v>1560.0000</v>
      </c>
      <c r="H22" s="14">
        <v>0</v>
      </c>
      <c r="I22" s="14">
        <v>1560.0000</v>
      </c>
      <c r="J22" s="13" t="s">
        <v>41</v>
      </c>
    </row>
    <row r="23" ht="10.95" customHeight="true" customFormat="true" s="8">
      <c r="A23" s="12">
        <v>43713</v>
      </c>
      <c r="B23" s="13" t="s">
        <v>25</v>
      </c>
      <c r="C23" s="13" t="s">
        <v>42</v>
      </c>
      <c r="D23" s="13" t="s">
        <v>43</v>
      </c>
      <c r="E23" s="13" t="s">
        <v>16</v>
      </c>
      <c r="F23" s="14">
        <v>0</v>
      </c>
      <c r="G23" s="14">
        <v>1139.5300</v>
      </c>
      <c r="H23" s="14">
        <v>0</v>
      </c>
      <c r="I23" s="14">
        <v>1139.5300</v>
      </c>
      <c r="J23" s="13" t="s">
        <v>41</v>
      </c>
    </row>
    <row r="24" ht="10.95" customHeight="true" customFormat="true" s="8">
      <c r="A24" s="12">
        <v>43713</v>
      </c>
      <c r="B24" s="13" t="s">
        <v>25</v>
      </c>
      <c r="C24" s="13" t="s">
        <v>44</v>
      </c>
      <c r="D24" s="13" t="s">
        <v>43</v>
      </c>
      <c r="E24" s="13" t="s">
        <v>16</v>
      </c>
      <c r="F24" s="14">
        <v>0</v>
      </c>
      <c r="G24" s="14">
        <v>1943.9100</v>
      </c>
      <c r="H24" s="14">
        <v>0</v>
      </c>
      <c r="I24" s="14">
        <v>1943.9100</v>
      </c>
      <c r="J24" s="13" t="s">
        <v>41</v>
      </c>
    </row>
    <row r="25" ht="10.95" customHeight="true" customFormat="true" s="8">
      <c r="A25" s="12">
        <v>43721</v>
      </c>
      <c r="B25" s="13" t="s">
        <v>25</v>
      </c>
      <c r="C25" s="13" t="s">
        <v>42</v>
      </c>
      <c r="D25" s="13" t="s">
        <v>45</v>
      </c>
      <c r="E25" s="13" t="s">
        <v>16</v>
      </c>
      <c r="F25" s="14">
        <v>0</v>
      </c>
      <c r="G25" s="14">
        <v>1716.0000</v>
      </c>
      <c r="H25" s="14">
        <v>0</v>
      </c>
      <c r="I25" s="14">
        <v>1716.0000</v>
      </c>
      <c r="J25" s="13" t="s">
        <v>41</v>
      </c>
    </row>
    <row r="26" ht="10.95" customHeight="true" customFormat="true" s="8">
      <c r="A26" s="12">
        <v>43721</v>
      </c>
      <c r="B26" s="13" t="s">
        <v>25</v>
      </c>
      <c r="C26" s="13" t="s">
        <v>44</v>
      </c>
      <c r="D26" s="13" t="s">
        <v>45</v>
      </c>
      <c r="E26" s="13" t="s">
        <v>16</v>
      </c>
      <c r="F26" s="14">
        <v>0</v>
      </c>
      <c r="G26" s="14">
        <v>1716.0000</v>
      </c>
      <c r="H26" s="14">
        <v>0</v>
      </c>
      <c r="I26" s="14">
        <v>1716.0000</v>
      </c>
      <c r="J26" s="13" t="s">
        <v>41</v>
      </c>
    </row>
    <row r="27" ht="10.95" customHeight="true" customFormat="true" s="8">
      <c r="A27" s="12">
        <v>43831</v>
      </c>
      <c r="B27" s="13" t="s">
        <v>25</v>
      </c>
      <c r="C27" s="13" t="s">
        <v>44</v>
      </c>
      <c r="D27" s="13" t="s">
        <v>46</v>
      </c>
      <c r="E27" s="13" t="s">
        <v>16</v>
      </c>
      <c r="F27" s="14">
        <v>0</v>
      </c>
      <c r="G27" s="14">
        <v>1716.0000</v>
      </c>
      <c r="H27" s="14">
        <v>0</v>
      </c>
      <c r="I27" s="14">
        <v>1716.0000</v>
      </c>
      <c r="J27" s="13" t="s">
        <v>22</v>
      </c>
    </row>
    <row r="28" ht="10.95" customHeight="true" customFormat="true" s="8">
      <c r="A28" s="12">
        <v>43831</v>
      </c>
      <c r="B28" s="13" t="s">
        <v>25</v>
      </c>
      <c r="C28" s="13" t="s">
        <v>42</v>
      </c>
      <c r="D28" s="13" t="s">
        <v>46</v>
      </c>
      <c r="E28" s="13" t="s">
        <v>16</v>
      </c>
      <c r="F28" s="14">
        <v>0</v>
      </c>
      <c r="G28" s="14">
        <v>1501.5000</v>
      </c>
      <c r="H28" s="14">
        <v>0</v>
      </c>
      <c r="I28" s="14">
        <v>1501.5000</v>
      </c>
      <c r="J28" s="13" t="s">
        <v>47</v>
      </c>
    </row>
    <row r="29" ht="10.95" customHeight="true" customFormat="true" s="8">
      <c r="A29" s="12">
        <v>43853</v>
      </c>
      <c r="B29" s="13" t="s">
        <v>25</v>
      </c>
      <c r="C29" s="13" t="s">
        <v>42</v>
      </c>
      <c r="D29" s="13" t="s">
        <v>48</v>
      </c>
      <c r="E29" s="13" t="s">
        <v>16</v>
      </c>
      <c r="F29" s="14">
        <v>0</v>
      </c>
      <c r="G29" s="14">
        <v>858.0000</v>
      </c>
      <c r="H29" s="14">
        <v>0</v>
      </c>
      <c r="I29" s="14">
        <v>858.0000</v>
      </c>
      <c r="J29" s="13" t="s">
        <v>41</v>
      </c>
    </row>
    <row r="30" ht="10.95" customHeight="true" customFormat="true" s="8">
      <c r="A30" s="12">
        <v>43853</v>
      </c>
      <c r="B30" s="13" t="s">
        <v>25</v>
      </c>
      <c r="C30" s="13" t="s">
        <v>44</v>
      </c>
      <c r="D30" s="13" t="s">
        <v>48</v>
      </c>
      <c r="E30" s="13" t="s">
        <v>16</v>
      </c>
      <c r="F30" s="14">
        <v>0</v>
      </c>
      <c r="G30" s="14">
        <v>1501.5000</v>
      </c>
      <c r="H30" s="14">
        <v>0</v>
      </c>
      <c r="I30" s="14">
        <v>1501.5000</v>
      </c>
      <c r="J30" s="13" t="s">
        <v>41</v>
      </c>
    </row>
    <row r="31" ht="10.95" customHeight="true" customFormat="true" s="8">
      <c r="A31" s="12">
        <v>43854</v>
      </c>
      <c r="B31" s="13" t="s">
        <v>25</v>
      </c>
      <c r="C31" s="13" t="s">
        <v>39</v>
      </c>
      <c r="D31" s="13" t="s">
        <v>49</v>
      </c>
      <c r="E31" s="13" t="s">
        <v>16</v>
      </c>
      <c r="F31" s="14">
        <v>0</v>
      </c>
      <c r="G31" s="14">
        <v>936.0000</v>
      </c>
      <c r="H31" s="14">
        <v>0</v>
      </c>
      <c r="I31" s="14">
        <v>936.0000</v>
      </c>
      <c r="J31" s="13" t="s">
        <v>41</v>
      </c>
    </row>
    <row r="32" ht="10.95" customHeight="true" customFormat="true" s="8">
      <c r="A32" s="12">
        <v>43882</v>
      </c>
      <c r="B32" s="13" t="s">
        <v>25</v>
      </c>
      <c r="C32" s="13" t="s">
        <v>50</v>
      </c>
      <c r="D32" s="13" t="s">
        <v>51</v>
      </c>
      <c r="E32" s="13" t="s">
        <v>16</v>
      </c>
      <c r="F32" s="14">
        <v>0</v>
      </c>
      <c r="G32" s="14">
        <v>260.0000</v>
      </c>
      <c r="H32" s="14">
        <v>0</v>
      </c>
      <c r="I32" s="14">
        <v>260.0000</v>
      </c>
      <c r="J32" s="13" t="s">
        <v>41</v>
      </c>
    </row>
    <row r="33" ht="10.95" customHeight="true" customFormat="true" s="8">
      <c r="A33" s="12">
        <v>43887</v>
      </c>
      <c r="B33" s="13" t="s">
        <v>25</v>
      </c>
      <c r="C33" s="13" t="s">
        <v>42</v>
      </c>
      <c r="D33" s="13" t="s">
        <v>52</v>
      </c>
      <c r="E33" s="13" t="s">
        <v>16</v>
      </c>
      <c r="F33" s="14">
        <v>0</v>
      </c>
      <c r="G33" s="14">
        <v>429.0000</v>
      </c>
      <c r="H33" s="14">
        <v>0</v>
      </c>
      <c r="I33" s="14">
        <v>429.0000</v>
      </c>
      <c r="J33" s="13" t="s">
        <v>41</v>
      </c>
    </row>
    <row r="34" ht="10.95" customHeight="true" customFormat="true" s="8">
      <c r="A34" s="12">
        <v>43887</v>
      </c>
      <c r="B34" s="13" t="s">
        <v>25</v>
      </c>
      <c r="C34" s="13" t="s">
        <v>44</v>
      </c>
      <c r="D34" s="13" t="s">
        <v>52</v>
      </c>
      <c r="E34" s="13" t="s">
        <v>16</v>
      </c>
      <c r="F34" s="14">
        <v>0</v>
      </c>
      <c r="G34" s="14">
        <v>429.0000</v>
      </c>
      <c r="H34" s="14">
        <v>0</v>
      </c>
      <c r="I34" s="14">
        <v>429.0000</v>
      </c>
      <c r="J34" s="13" t="s">
        <v>41</v>
      </c>
    </row>
    <row r="35" ht="10.95" customHeight="true" customFormat="true" s="8">
      <c r="A35" s="12">
        <v>44088</v>
      </c>
      <c r="B35" s="13" t="s">
        <v>25</v>
      </c>
      <c r="C35" s="13" t="s">
        <v>42</v>
      </c>
      <c r="D35" s="13" t="s">
        <v>53</v>
      </c>
      <c r="E35" s="13" t="s">
        <v>16</v>
      </c>
      <c r="F35" s="14">
        <v>0</v>
      </c>
      <c r="G35" s="14">
        <v>1287.0000</v>
      </c>
      <c r="H35" s="14">
        <v>0</v>
      </c>
      <c r="I35" s="14">
        <v>1287.0000</v>
      </c>
      <c r="J35" s="13" t="s">
        <v>22</v>
      </c>
    </row>
    <row r="36" ht="10.95" customHeight="true" customFormat="true" s="8">
      <c r="A36" s="12">
        <v>44088</v>
      </c>
      <c r="B36" s="13" t="s">
        <v>25</v>
      </c>
      <c r="C36" s="13" t="s">
        <v>44</v>
      </c>
      <c r="D36" s="13" t="s">
        <v>53</v>
      </c>
      <c r="E36" s="13" t="s">
        <v>16</v>
      </c>
      <c r="F36" s="14">
        <v>0</v>
      </c>
      <c r="G36" s="14">
        <v>1072.5000</v>
      </c>
      <c r="H36" s="14">
        <v>0</v>
      </c>
      <c r="I36" s="14">
        <v>1072.5000</v>
      </c>
      <c r="J36" s="13" t="s">
        <v>47</v>
      </c>
    </row>
    <row r="37" ht="10.95" customHeight="true" customFormat="true" s="8">
      <c r="A37" s="12">
        <v>44109</v>
      </c>
      <c r="B37" s="13" t="s">
        <v>25</v>
      </c>
      <c r="C37" s="13" t="s">
        <v>44</v>
      </c>
      <c r="D37" s="13" t="s">
        <v>54</v>
      </c>
      <c r="E37" s="13" t="s">
        <v>16</v>
      </c>
      <c r="F37" s="14">
        <v>0</v>
      </c>
      <c r="G37" s="14">
        <v>214.5000</v>
      </c>
      <c r="H37" s="14">
        <v>0</v>
      </c>
      <c r="I37" s="14">
        <v>214.5000</v>
      </c>
      <c r="J37" s="13" t="s">
        <v>47</v>
      </c>
    </row>
    <row r="38" ht="10.95" customHeight="true" customFormat="true" s="8">
      <c r="A38" s="12">
        <v>44162</v>
      </c>
      <c r="B38" s="13" t="s">
        <v>25</v>
      </c>
      <c r="C38" s="13" t="s">
        <v>44</v>
      </c>
      <c r="D38" s="13" t="s">
        <v>55</v>
      </c>
      <c r="E38" s="13" t="s">
        <v>16</v>
      </c>
      <c r="F38" s="14">
        <v>0</v>
      </c>
      <c r="G38" s="14">
        <v>1287.0000</v>
      </c>
      <c r="H38" s="14">
        <v>0</v>
      </c>
      <c r="I38" s="14">
        <v>1287.0000</v>
      </c>
      <c r="J38" s="13" t="s">
        <v>47</v>
      </c>
    </row>
    <row r="39" ht="10.95" customHeight="true" customFormat="true" s="8">
      <c r="A39" s="12">
        <v>44162</v>
      </c>
      <c r="B39" s="13" t="s">
        <v>25</v>
      </c>
      <c r="C39" s="13" t="s">
        <v>42</v>
      </c>
      <c r="D39" s="13" t="s">
        <v>55</v>
      </c>
      <c r="E39" s="13" t="s">
        <v>16</v>
      </c>
      <c r="F39" s="14">
        <v>0</v>
      </c>
      <c r="G39" s="14">
        <v>1501.5000</v>
      </c>
      <c r="H39" s="14">
        <v>0</v>
      </c>
      <c r="I39" s="14">
        <v>1501.5000</v>
      </c>
      <c r="J39" s="13" t="s">
        <v>22</v>
      </c>
    </row>
    <row r="40" ht="10.95" customHeight="true" customFormat="true" s="8">
      <c r="A40" s="12">
        <v>44225</v>
      </c>
      <c r="B40" s="13" t="s">
        <v>25</v>
      </c>
      <c r="C40" s="13" t="s">
        <v>44</v>
      </c>
      <c r="D40" s="13" t="s">
        <v>56</v>
      </c>
      <c r="E40" s="13" t="s">
        <v>16</v>
      </c>
      <c r="F40" s="14">
        <v>0</v>
      </c>
      <c r="G40" s="14">
        <v>858.0000</v>
      </c>
      <c r="H40" s="14">
        <v>0</v>
      </c>
      <c r="I40" s="14">
        <v>858.0000</v>
      </c>
      <c r="J40" s="13" t="s">
        <v>47</v>
      </c>
    </row>
    <row r="41" ht="10.95" customHeight="true" customFormat="true" s="8">
      <c r="A41" s="12">
        <v>44225</v>
      </c>
      <c r="B41" s="13" t="s">
        <v>25</v>
      </c>
      <c r="C41" s="13" t="s">
        <v>42</v>
      </c>
      <c r="D41" s="13" t="s">
        <v>56</v>
      </c>
      <c r="E41" s="13" t="s">
        <v>16</v>
      </c>
      <c r="F41" s="14">
        <v>0</v>
      </c>
      <c r="G41" s="14">
        <v>1501.5000</v>
      </c>
      <c r="H41" s="14">
        <v>0</v>
      </c>
      <c r="I41" s="14">
        <v>1501.5000</v>
      </c>
      <c r="J41" s="13" t="s">
        <v>22</v>
      </c>
    </row>
    <row r="42" ht="10.95" customHeight="true" customFormat="true" s="8">
      <c r="A42" s="12">
        <v>44225</v>
      </c>
      <c r="B42" s="13" t="s">
        <v>25</v>
      </c>
      <c r="C42" s="13" t="s">
        <v>57</v>
      </c>
      <c r="D42" s="13" t="s">
        <v>56</v>
      </c>
      <c r="E42" s="13" t="s">
        <v>16</v>
      </c>
      <c r="F42" s="14">
        <v>0</v>
      </c>
      <c r="G42" s="14">
        <v>3120.0000</v>
      </c>
      <c r="H42" s="14">
        <v>0</v>
      </c>
      <c r="I42" s="14">
        <v>3120.0000</v>
      </c>
      <c r="J42" s="13" t="s">
        <v>58</v>
      </c>
    </row>
    <row r="43" ht="10.95" customHeight="true" customFormat="true" s="8">
      <c r="A43" s="12">
        <v>44259</v>
      </c>
      <c r="B43" s="13" t="s">
        <v>25</v>
      </c>
      <c r="C43" s="13" t="s">
        <v>42</v>
      </c>
      <c r="D43" s="13" t="s">
        <v>59</v>
      </c>
      <c r="E43" s="13" t="s">
        <v>16</v>
      </c>
      <c r="F43" s="14">
        <v>0</v>
      </c>
      <c r="G43" s="14">
        <v>1287.0000</v>
      </c>
      <c r="H43" s="14">
        <v>0</v>
      </c>
      <c r="I43" s="14">
        <v>1287.0000</v>
      </c>
      <c r="J43" s="13" t="s">
        <v>22</v>
      </c>
    </row>
    <row r="44" ht="10.95" customHeight="true" customFormat="true" s="8">
      <c r="A44" s="12">
        <v>44259</v>
      </c>
      <c r="B44" s="13" t="s">
        <v>25</v>
      </c>
      <c r="C44" s="13" t="s">
        <v>44</v>
      </c>
      <c r="D44" s="13" t="s">
        <v>59</v>
      </c>
      <c r="E44" s="13" t="s">
        <v>16</v>
      </c>
      <c r="F44" s="14">
        <v>0</v>
      </c>
      <c r="G44" s="14">
        <v>858.0000</v>
      </c>
      <c r="H44" s="14">
        <v>0</v>
      </c>
      <c r="I44" s="14">
        <v>858.0000</v>
      </c>
      <c r="J44" s="13" t="s">
        <v>47</v>
      </c>
    </row>
    <row r="45" ht="10.95" customHeight="true" customFormat="true" s="8">
      <c r="A45" s="12">
        <v>44301</v>
      </c>
      <c r="B45" s="13" t="s">
        <v>25</v>
      </c>
      <c r="C45" s="13" t="s">
        <v>42</v>
      </c>
      <c r="D45" s="13" t="s">
        <v>60</v>
      </c>
      <c r="E45" s="13" t="s">
        <v>16</v>
      </c>
      <c r="F45" s="14">
        <v>0</v>
      </c>
      <c r="G45" s="14">
        <v>858.0000</v>
      </c>
      <c r="H45" s="14">
        <v>0</v>
      </c>
      <c r="I45" s="14">
        <v>858.0000</v>
      </c>
      <c r="J45" s="13" t="s">
        <v>22</v>
      </c>
    </row>
    <row r="46" ht="10.95" customHeight="true" customFormat="true" s="8">
      <c r="A46" s="12">
        <v>44383</v>
      </c>
      <c r="B46" s="13" t="s">
        <v>25</v>
      </c>
      <c r="C46" s="13" t="s">
        <v>44</v>
      </c>
      <c r="D46" s="13" t="s">
        <v>61</v>
      </c>
      <c r="E46" s="13" t="s">
        <v>16</v>
      </c>
      <c r="F46" s="14">
        <v>0</v>
      </c>
      <c r="G46" s="14">
        <v>429.0000</v>
      </c>
      <c r="H46" s="14">
        <v>0</v>
      </c>
      <c r="I46" s="14">
        <v>429.0000</v>
      </c>
      <c r="J46" s="13" t="s">
        <v>47</v>
      </c>
    </row>
    <row r="47" ht="10.95" customHeight="true" customFormat="true" s="8">
      <c r="A47" s="12">
        <v>44383</v>
      </c>
      <c r="B47" s="13" t="s">
        <v>25</v>
      </c>
      <c r="C47" s="13" t="s">
        <v>42</v>
      </c>
      <c r="D47" s="13" t="s">
        <v>61</v>
      </c>
      <c r="E47" s="13" t="s">
        <v>16</v>
      </c>
      <c r="F47" s="14">
        <v>0</v>
      </c>
      <c r="G47" s="14">
        <v>643.5000</v>
      </c>
      <c r="H47" s="14">
        <v>0</v>
      </c>
      <c r="I47" s="14">
        <v>643.5000</v>
      </c>
      <c r="J47" s="13" t="s">
        <v>22</v>
      </c>
    </row>
    <row r="48" ht="10.95" customHeight="true" customFormat="true" s="8">
      <c r="A48" s="12">
        <v>44535</v>
      </c>
      <c r="B48" s="13" t="s">
        <v>25</v>
      </c>
      <c r="C48" s="13" t="s">
        <v>62</v>
      </c>
      <c r="D48" s="13" t="s">
        <v>63</v>
      </c>
      <c r="E48" s="13" t="s">
        <v>16</v>
      </c>
      <c r="F48" s="14">
        <v>0</v>
      </c>
      <c r="G48" s="14">
        <v>429.0000</v>
      </c>
      <c r="H48" s="14">
        <v>0</v>
      </c>
      <c r="I48" s="14">
        <v>429.0000</v>
      </c>
      <c r="J48" s="13" t="s">
        <v>47</v>
      </c>
    </row>
    <row r="49" ht="10.95" customHeight="true" customFormat="true" s="8">
      <c r="A49" s="12">
        <v>44535</v>
      </c>
      <c r="B49" s="13" t="s">
        <v>25</v>
      </c>
      <c r="C49" s="13" t="s">
        <v>64</v>
      </c>
      <c r="D49" s="13" t="s">
        <v>63</v>
      </c>
      <c r="E49" s="13" t="s">
        <v>16</v>
      </c>
      <c r="F49" s="14">
        <v>0</v>
      </c>
      <c r="G49" s="14">
        <v>1404.0000</v>
      </c>
      <c r="H49" s="14">
        <v>0</v>
      </c>
      <c r="I49" s="14">
        <v>1404.0000</v>
      </c>
      <c r="J49" s="13" t="s">
        <v>58</v>
      </c>
    </row>
    <row r="50" ht="10.95" customHeight="true" customFormat="true" s="8">
      <c r="A50" s="12">
        <v>44535</v>
      </c>
      <c r="B50" s="13" t="s">
        <v>25</v>
      </c>
      <c r="C50" s="13" t="s">
        <v>65</v>
      </c>
      <c r="D50" s="13" t="s">
        <v>63</v>
      </c>
      <c r="E50" s="13" t="s">
        <v>16</v>
      </c>
      <c r="F50" s="14">
        <v>0</v>
      </c>
      <c r="G50" s="14">
        <v>1072.5000</v>
      </c>
      <c r="H50" s="14">
        <v>0</v>
      </c>
      <c r="I50" s="14">
        <v>1072.5000</v>
      </c>
      <c r="J50" s="13" t="s">
        <v>22</v>
      </c>
    </row>
    <row r="51" ht="10.95" customHeight="true" customFormat="true" s="8">
      <c r="A51" s="12">
        <v>44535</v>
      </c>
      <c r="B51" s="13" t="s">
        <v>25</v>
      </c>
      <c r="C51" s="13" t="s">
        <v>66</v>
      </c>
      <c r="D51" s="13" t="s">
        <v>67</v>
      </c>
      <c r="E51" s="13" t="s">
        <v>16</v>
      </c>
      <c r="F51" s="14">
        <v>0</v>
      </c>
      <c r="G51" s="14">
        <v>1560.0000</v>
      </c>
      <c r="H51" s="14">
        <v>0</v>
      </c>
      <c r="I51" s="14">
        <v>1560.0000</v>
      </c>
      <c r="J51" s="13" t="s">
        <v>41</v>
      </c>
    </row>
    <row r="52" ht="10.95" customHeight="true" customFormat="true" s="8">
      <c r="A52" s="12">
        <v>44553</v>
      </c>
      <c r="B52" s="13" t="s">
        <v>25</v>
      </c>
      <c r="C52" s="13" t="s">
        <v>65</v>
      </c>
      <c r="D52" s="13" t="s">
        <v>68</v>
      </c>
      <c r="E52" s="13" t="s">
        <v>16</v>
      </c>
      <c r="F52" s="14">
        <v>0</v>
      </c>
      <c r="G52" s="14">
        <v>429.0000</v>
      </c>
      <c r="H52" s="14">
        <v>0</v>
      </c>
      <c r="I52" s="14">
        <v>429.0000</v>
      </c>
      <c r="J52" s="13" t="s">
        <v>22</v>
      </c>
    </row>
    <row r="53" ht="10.95" customHeight="true" customFormat="true" s="8">
      <c r="A53" s="12">
        <v>45098</v>
      </c>
      <c r="B53" s="13" t="s">
        <v>25</v>
      </c>
      <c r="C53" s="13" t="s">
        <v>65</v>
      </c>
      <c r="D53" s="13" t="s">
        <v>69</v>
      </c>
      <c r="E53" s="13" t="s">
        <v>16</v>
      </c>
      <c r="F53" s="14">
        <v>0</v>
      </c>
      <c r="G53" s="14">
        <v>1638.0000</v>
      </c>
      <c r="H53" s="14">
        <v>0</v>
      </c>
      <c r="I53" s="14">
        <v>1638.0000</v>
      </c>
      <c r="J53" s="13" t="s">
        <v>22</v>
      </c>
    </row>
    <row r="54" ht="10.95" customHeight="true" customFormat="true" s="8">
      <c r="A54" s="12">
        <v>45098</v>
      </c>
      <c r="B54" s="13" t="s">
        <v>25</v>
      </c>
      <c r="C54" s="13" t="s">
        <v>62</v>
      </c>
      <c r="D54" s="13" t="s">
        <v>70</v>
      </c>
      <c r="E54" s="13" t="s">
        <v>16</v>
      </c>
      <c r="F54" s="14">
        <v>0</v>
      </c>
      <c r="G54" s="14">
        <v>1501.5000</v>
      </c>
      <c r="H54" s="14">
        <v>0</v>
      </c>
      <c r="I54" s="14">
        <v>1501.5000</v>
      </c>
      <c r="J54" s="13" t="s">
        <v>47</v>
      </c>
    </row>
    <row r="55" ht="10.95" customHeight="true" customFormat="true" s="8">
      <c r="A55" s="12">
        <v>45250</v>
      </c>
      <c r="B55" s="13" t="s">
        <v>25</v>
      </c>
      <c r="C55" s="13" t="s">
        <v>65</v>
      </c>
      <c r="D55" s="13" t="s">
        <v>71</v>
      </c>
      <c r="E55" s="13" t="s">
        <v>16</v>
      </c>
      <c r="F55" s="14">
        <v>0</v>
      </c>
      <c r="G55" s="14">
        <v>1170.0000</v>
      </c>
      <c r="H55" s="14">
        <v>0</v>
      </c>
      <c r="I55" s="14">
        <v>1170.0000</v>
      </c>
      <c r="J55" s="13" t="s">
        <v>22</v>
      </c>
    </row>
    <row r="56" ht="10.95" customHeight="true" customFormat="true" s="8">
      <c r="A56" s="12">
        <v>45250</v>
      </c>
      <c r="B56" s="13" t="s">
        <v>25</v>
      </c>
      <c r="C56" s="13" t="s">
        <v>65</v>
      </c>
      <c r="D56" s="13" t="s">
        <v>72</v>
      </c>
      <c r="E56" s="13" t="s">
        <v>16</v>
      </c>
      <c r="F56" s="14">
        <v>0</v>
      </c>
      <c r="G56" s="14">
        <v>5850.0000</v>
      </c>
      <c r="H56" s="14">
        <v>0</v>
      </c>
      <c r="I56" s="14">
        <v>5850.0000</v>
      </c>
      <c r="J56" s="13" t="s">
        <v>41</v>
      </c>
    </row>
    <row r="57" ht="10.95" customHeight="true" customFormat="true" s="8">
      <c r="A57" s="12">
        <v>45250</v>
      </c>
      <c r="B57" s="13" t="s">
        <v>25</v>
      </c>
      <c r="C57" s="13" t="s">
        <v>73</v>
      </c>
      <c r="D57" s="13" t="s">
        <v>72</v>
      </c>
      <c r="E57" s="13" t="s">
        <v>16</v>
      </c>
      <c r="F57" s="14">
        <v>1023.7500</v>
      </c>
      <c r="G57" s="14">
        <v>0</v>
      </c>
      <c r="H57" s="14">
        <v>1023.7500</v>
      </c>
      <c r="I57" s="14">
        <v>0</v>
      </c>
      <c r="J57" s="13" t="s">
        <v>41</v>
      </c>
    </row>
    <row r="58" ht="10.95" customHeight="true" customFormat="true" s="8">
      <c r="A58" s="15" t="s">
        <v>74</v>
      </c>
      <c r="B58" s="15"/>
      <c r="C58" s="15"/>
      <c r="D58" s="15"/>
      <c r="E58" s="15"/>
      <c r="F58" s="16">
        <f ca="1">SUM(F12:F57)</f>
        <v>0</v>
      </c>
      <c r="G58" s="16">
        <f ca="1">SUM(G12:G57)</f>
        <v>0</v>
      </c>
      <c r="H58" s="16">
        <f ca="1">SUM(H12:H57)</f>
        <v>0</v>
      </c>
      <c r="I58" s="16">
        <f ca="1">SUM(I12:I57)</f>
        <v>0</v>
      </c>
      <c r="J58" s="15"/>
    </row>
    <row r="59" ht="13.35" customHeight="true"/>
    <row r="60" ht="12.1" customHeight="true" customFormat="true" s="5">
      <c r="A60" s="17" t="s">
        <v>75</v>
      </c>
      <c r="B60" s="17"/>
      <c r="C60" s="17"/>
      <c r="D60" s="17"/>
      <c r="E60" s="17"/>
      <c r="F60" s="17"/>
      <c r="G60" s="17"/>
      <c r="H60" s="17"/>
      <c r="I60" s="17"/>
      <c r="J60" s="17"/>
    </row>
    <row r="61" ht="10.95" customHeight="true" customFormat="true" s="8">
      <c r="A61" s="9">
        <v>44300</v>
      </c>
      <c r="B61" s="10" t="s">
        <v>25</v>
      </c>
      <c r="C61" s="10" t="s">
        <v>76</v>
      </c>
      <c r="D61" s="10" t="s">
        <v>77</v>
      </c>
      <c r="E61" s="10" t="s">
        <v>16</v>
      </c>
      <c r="F61" s="11">
        <v>0</v>
      </c>
      <c r="G61" s="11">
        <v>214.5000</v>
      </c>
      <c r="H61" s="11">
        <v>0</v>
      </c>
      <c r="I61" s="11">
        <v>214.5000</v>
      </c>
      <c r="J61" s="10" t="s">
        <v>47</v>
      </c>
    </row>
    <row r="62" ht="10.95" customHeight="true" customFormat="true" s="8">
      <c r="A62" s="12">
        <v>44362</v>
      </c>
      <c r="B62" s="13" t="s">
        <v>25</v>
      </c>
      <c r="C62" s="13" t="s">
        <v>76</v>
      </c>
      <c r="D62" s="13" t="s">
        <v>78</v>
      </c>
      <c r="E62" s="13" t="s">
        <v>16</v>
      </c>
      <c r="F62" s="14">
        <v>0</v>
      </c>
      <c r="G62" s="14">
        <v>214.5000</v>
      </c>
      <c r="H62" s="14">
        <v>0</v>
      </c>
      <c r="I62" s="14">
        <v>214.5000</v>
      </c>
      <c r="J62" s="13" t="s">
        <v>47</v>
      </c>
    </row>
    <row r="63" ht="10.95" customHeight="true" customFormat="true" s="8">
      <c r="A63" s="12">
        <v>44427</v>
      </c>
      <c r="B63" s="13" t="s">
        <v>25</v>
      </c>
      <c r="C63" s="13" t="s">
        <v>79</v>
      </c>
      <c r="D63" s="13" t="s">
        <v>80</v>
      </c>
      <c r="E63" s="13" t="s">
        <v>16</v>
      </c>
      <c r="F63" s="14">
        <v>0</v>
      </c>
      <c r="G63" s="14">
        <v>858.0000</v>
      </c>
      <c r="H63" s="14">
        <v>0</v>
      </c>
      <c r="I63" s="14">
        <v>858.0000</v>
      </c>
      <c r="J63" s="13" t="s">
        <v>22</v>
      </c>
    </row>
    <row r="64" ht="10.95" customHeight="true" customFormat="true" s="8">
      <c r="A64" s="12">
        <v>44427</v>
      </c>
      <c r="B64" s="13" t="s">
        <v>25</v>
      </c>
      <c r="C64" s="13" t="s">
        <v>81</v>
      </c>
      <c r="D64" s="13" t="s">
        <v>80</v>
      </c>
      <c r="E64" s="13" t="s">
        <v>16</v>
      </c>
      <c r="F64" s="14">
        <v>0</v>
      </c>
      <c r="G64" s="14">
        <v>1404.0000</v>
      </c>
      <c r="H64" s="14">
        <v>0</v>
      </c>
      <c r="I64" s="14">
        <v>1404.0000</v>
      </c>
      <c r="J64" s="13" t="s">
        <v>58</v>
      </c>
    </row>
    <row r="65" ht="10.95" customHeight="true" customFormat="true" s="8">
      <c r="A65" s="12">
        <v>44427</v>
      </c>
      <c r="B65" s="13" t="s">
        <v>25</v>
      </c>
      <c r="C65" s="13" t="s">
        <v>76</v>
      </c>
      <c r="D65" s="13" t="s">
        <v>80</v>
      </c>
      <c r="E65" s="13" t="s">
        <v>16</v>
      </c>
      <c r="F65" s="14">
        <v>0</v>
      </c>
      <c r="G65" s="14">
        <v>429.0000</v>
      </c>
      <c r="H65" s="14">
        <v>0</v>
      </c>
      <c r="I65" s="14">
        <v>429.0000</v>
      </c>
      <c r="J65" s="13" t="s">
        <v>47</v>
      </c>
    </row>
    <row r="66" ht="10.95" customHeight="true" customFormat="true" s="8">
      <c r="A66" s="12">
        <v>44649</v>
      </c>
      <c r="B66" s="13" t="s">
        <v>25</v>
      </c>
      <c r="C66" s="13" t="s">
        <v>76</v>
      </c>
      <c r="D66" s="13" t="s">
        <v>82</v>
      </c>
      <c r="E66" s="13" t="s">
        <v>16</v>
      </c>
      <c r="F66" s="14">
        <v>0</v>
      </c>
      <c r="G66" s="14">
        <v>643.5000</v>
      </c>
      <c r="H66" s="14">
        <v>0</v>
      </c>
      <c r="I66" s="14">
        <v>643.5000</v>
      </c>
      <c r="J66" s="13" t="s">
        <v>47</v>
      </c>
    </row>
    <row r="67" ht="10.95" customHeight="true" customFormat="true" s="8">
      <c r="A67" s="12">
        <v>44649</v>
      </c>
      <c r="B67" s="13" t="s">
        <v>25</v>
      </c>
      <c r="C67" s="13" t="s">
        <v>81</v>
      </c>
      <c r="D67" s="13" t="s">
        <v>82</v>
      </c>
      <c r="E67" s="13" t="s">
        <v>16</v>
      </c>
      <c r="F67" s="14">
        <v>0</v>
      </c>
      <c r="G67" s="14">
        <v>2106.0000</v>
      </c>
      <c r="H67" s="14">
        <v>0</v>
      </c>
      <c r="I67" s="14">
        <v>2106.0000</v>
      </c>
      <c r="J67" s="13" t="s">
        <v>58</v>
      </c>
    </row>
    <row r="68" ht="10.95" customHeight="true" customFormat="true" s="8">
      <c r="A68" s="12">
        <v>44649</v>
      </c>
      <c r="B68" s="13" t="s">
        <v>25</v>
      </c>
      <c r="C68" s="13" t="s">
        <v>79</v>
      </c>
      <c r="D68" s="13" t="s">
        <v>82</v>
      </c>
      <c r="E68" s="13" t="s">
        <v>16</v>
      </c>
      <c r="F68" s="14">
        <v>0</v>
      </c>
      <c r="G68" s="14">
        <v>643.5000</v>
      </c>
      <c r="H68" s="14">
        <v>0</v>
      </c>
      <c r="I68" s="14">
        <v>643.5000</v>
      </c>
      <c r="J68" s="13" t="s">
        <v>22</v>
      </c>
    </row>
    <row r="69" ht="10.95" customHeight="true" customFormat="true" s="8">
      <c r="A69" s="12">
        <v>44661</v>
      </c>
      <c r="B69" s="13" t="s">
        <v>25</v>
      </c>
      <c r="C69" s="13" t="s">
        <v>81</v>
      </c>
      <c r="D69" s="13" t="s">
        <v>83</v>
      </c>
      <c r="E69" s="13" t="s">
        <v>16</v>
      </c>
      <c r="F69" s="14">
        <v>0</v>
      </c>
      <c r="G69" s="14">
        <v>1404.0000</v>
      </c>
      <c r="H69" s="14">
        <v>0</v>
      </c>
      <c r="I69" s="14">
        <v>1404.0000</v>
      </c>
      <c r="J69" s="13" t="s">
        <v>58</v>
      </c>
    </row>
    <row r="70" ht="10.95" customHeight="true" customFormat="true" s="8">
      <c r="A70" s="12">
        <v>44661</v>
      </c>
      <c r="B70" s="13" t="s">
        <v>25</v>
      </c>
      <c r="C70" s="13" t="s">
        <v>79</v>
      </c>
      <c r="D70" s="13" t="s">
        <v>83</v>
      </c>
      <c r="E70" s="13" t="s">
        <v>16</v>
      </c>
      <c r="F70" s="14">
        <v>0</v>
      </c>
      <c r="G70" s="14">
        <v>429.0000</v>
      </c>
      <c r="H70" s="14">
        <v>0</v>
      </c>
      <c r="I70" s="14">
        <v>429.0000</v>
      </c>
      <c r="J70" s="13" t="s">
        <v>22</v>
      </c>
    </row>
    <row r="71" ht="10.95" customHeight="true" customFormat="true" s="8">
      <c r="A71" s="12">
        <v>44661</v>
      </c>
      <c r="B71" s="13" t="s">
        <v>25</v>
      </c>
      <c r="C71" s="13" t="s">
        <v>76</v>
      </c>
      <c r="D71" s="13" t="s">
        <v>83</v>
      </c>
      <c r="E71" s="13" t="s">
        <v>16</v>
      </c>
      <c r="F71" s="14">
        <v>0</v>
      </c>
      <c r="G71" s="14">
        <v>1072.5000</v>
      </c>
      <c r="H71" s="14">
        <v>0</v>
      </c>
      <c r="I71" s="14">
        <v>1072.5000</v>
      </c>
      <c r="J71" s="13" t="s">
        <v>47</v>
      </c>
    </row>
    <row r="72" ht="10.95" customHeight="true" customFormat="true" s="8">
      <c r="A72" s="12">
        <v>44977</v>
      </c>
      <c r="B72" s="13" t="s">
        <v>25</v>
      </c>
      <c r="C72" s="13" t="s">
        <v>81</v>
      </c>
      <c r="D72" s="13" t="s">
        <v>84</v>
      </c>
      <c r="E72" s="13" t="s">
        <v>16</v>
      </c>
      <c r="F72" s="14">
        <v>0</v>
      </c>
      <c r="G72" s="14">
        <v>1053.0000</v>
      </c>
      <c r="H72" s="14">
        <v>0</v>
      </c>
      <c r="I72" s="14">
        <v>1053.0000</v>
      </c>
      <c r="J72" s="13" t="s">
        <v>58</v>
      </c>
    </row>
    <row r="73" ht="10.95" customHeight="true" customFormat="true" s="8">
      <c r="A73" s="12">
        <v>44977</v>
      </c>
      <c r="B73" s="13" t="s">
        <v>25</v>
      </c>
      <c r="C73" s="13" t="s">
        <v>76</v>
      </c>
      <c r="D73" s="13" t="s">
        <v>84</v>
      </c>
      <c r="E73" s="13" t="s">
        <v>16</v>
      </c>
      <c r="F73" s="14">
        <v>0</v>
      </c>
      <c r="G73" s="14">
        <v>214.5000</v>
      </c>
      <c r="H73" s="14">
        <v>0</v>
      </c>
      <c r="I73" s="14">
        <v>214.5000</v>
      </c>
      <c r="J73" s="13" t="s">
        <v>47</v>
      </c>
    </row>
    <row r="74" ht="10.95" customHeight="true" customFormat="true" s="8">
      <c r="A74" s="12">
        <v>44993</v>
      </c>
      <c r="B74" s="13" t="s">
        <v>25</v>
      </c>
      <c r="C74" s="13" t="s">
        <v>76</v>
      </c>
      <c r="D74" s="13" t="s">
        <v>85</v>
      </c>
      <c r="E74" s="13" t="s">
        <v>16</v>
      </c>
      <c r="F74" s="14">
        <v>0</v>
      </c>
      <c r="G74" s="14">
        <v>936.0000</v>
      </c>
      <c r="H74" s="14">
        <v>0</v>
      </c>
      <c r="I74" s="14">
        <v>936.0000</v>
      </c>
      <c r="J74" s="13" t="s">
        <v>47</v>
      </c>
    </row>
    <row r="75" ht="10.95" customHeight="true" customFormat="true" s="8">
      <c r="A75" s="12">
        <v>44993</v>
      </c>
      <c r="B75" s="13" t="s">
        <v>25</v>
      </c>
      <c r="C75" s="13" t="s">
        <v>79</v>
      </c>
      <c r="D75" s="13" t="s">
        <v>85</v>
      </c>
      <c r="E75" s="13" t="s">
        <v>16</v>
      </c>
      <c r="F75" s="14">
        <v>0</v>
      </c>
      <c r="G75" s="14">
        <v>234.0000</v>
      </c>
      <c r="H75" s="14">
        <v>0</v>
      </c>
      <c r="I75" s="14">
        <v>234.0000</v>
      </c>
      <c r="J75" s="13" t="s">
        <v>22</v>
      </c>
    </row>
    <row r="76" ht="10.95" customHeight="true" customFormat="true" s="8">
      <c r="A76" s="12">
        <v>45215</v>
      </c>
      <c r="B76" s="13" t="s">
        <v>25</v>
      </c>
      <c r="C76" s="13" t="s">
        <v>76</v>
      </c>
      <c r="D76" s="13" t="s">
        <v>86</v>
      </c>
      <c r="E76" s="13" t="s">
        <v>16</v>
      </c>
      <c r="F76" s="14">
        <v>0</v>
      </c>
      <c r="G76" s="14">
        <v>1638.0000</v>
      </c>
      <c r="H76" s="14">
        <v>0</v>
      </c>
      <c r="I76" s="14">
        <v>1638.0000</v>
      </c>
      <c r="J76" s="13" t="s">
        <v>47</v>
      </c>
    </row>
    <row r="77" ht="10.95" customHeight="true" customFormat="true" s="8">
      <c r="A77" s="12">
        <v>45291</v>
      </c>
      <c r="B77" s="13" t="s">
        <v>87</v>
      </c>
      <c r="C77" s="13" t="s">
        <v>88</v>
      </c>
      <c r="D77" s="13" t="s">
        <v>89</v>
      </c>
      <c r="E77" s="13" t="s">
        <v>16</v>
      </c>
      <c r="F77" s="14">
        <v>1638.0000</v>
      </c>
      <c r="G77" s="14">
        <v>0</v>
      </c>
      <c r="H77" s="14">
        <v>1638.0000</v>
      </c>
      <c r="I77" s="14">
        <v>0</v>
      </c>
      <c r="J77" s="13" t="s">
        <v>47</v>
      </c>
    </row>
    <row r="78" ht="10.95" customHeight="true" customFormat="true" s="8">
      <c r="A78" s="12">
        <v>45291</v>
      </c>
      <c r="B78" s="13" t="s">
        <v>87</v>
      </c>
      <c r="C78" s="13" t="s">
        <v>88</v>
      </c>
      <c r="D78" s="13" t="s">
        <v>89</v>
      </c>
      <c r="E78" s="13" t="s">
        <v>16</v>
      </c>
      <c r="F78" s="14">
        <v>936.0000</v>
      </c>
      <c r="G78" s="14">
        <v>0</v>
      </c>
      <c r="H78" s="14">
        <v>936.0000</v>
      </c>
      <c r="I78" s="14">
        <v>0</v>
      </c>
      <c r="J78" s="13" t="s">
        <v>47</v>
      </c>
    </row>
    <row r="79" ht="10.95" customHeight="true" customFormat="true" s="8">
      <c r="A79" s="12">
        <v>45291</v>
      </c>
      <c r="B79" s="13" t="s">
        <v>87</v>
      </c>
      <c r="C79" s="13" t="s">
        <v>88</v>
      </c>
      <c r="D79" s="13" t="s">
        <v>89</v>
      </c>
      <c r="E79" s="13" t="s">
        <v>16</v>
      </c>
      <c r="F79" s="14">
        <v>234.0000</v>
      </c>
      <c r="G79" s="14">
        <v>0</v>
      </c>
      <c r="H79" s="14">
        <v>234.0000</v>
      </c>
      <c r="I79" s="14">
        <v>0</v>
      </c>
      <c r="J79" s="13" t="s">
        <v>22</v>
      </c>
    </row>
    <row r="80" ht="10.95" customHeight="true" customFormat="true" s="8">
      <c r="A80" s="12">
        <v>45294</v>
      </c>
      <c r="B80" s="13" t="s">
        <v>25</v>
      </c>
      <c r="C80" s="13" t="s">
        <v>90</v>
      </c>
      <c r="D80" s="13" t="s">
        <v>91</v>
      </c>
      <c r="E80" s="13" t="s">
        <v>16</v>
      </c>
      <c r="F80" s="14">
        <v>0</v>
      </c>
      <c r="G80" s="14">
        <v>5250.0000</v>
      </c>
      <c r="H80" s="14">
        <v>0</v>
      </c>
      <c r="I80" s="14">
        <v>5250.0000</v>
      </c>
      <c r="J80" s="13" t="s">
        <v>22</v>
      </c>
    </row>
    <row r="81" ht="10.95" customHeight="true" customFormat="true" s="8">
      <c r="A81" s="12">
        <v>45294</v>
      </c>
      <c r="B81" s="13" t="s">
        <v>25</v>
      </c>
      <c r="C81" s="13" t="s">
        <v>76</v>
      </c>
      <c r="D81" s="13" t="s">
        <v>91</v>
      </c>
      <c r="E81" s="13" t="s">
        <v>16</v>
      </c>
      <c r="F81" s="14">
        <v>0</v>
      </c>
      <c r="G81" s="14">
        <v>2340.0000</v>
      </c>
      <c r="H81" s="14">
        <v>0</v>
      </c>
      <c r="I81" s="14">
        <v>2340.0000</v>
      </c>
      <c r="J81" s="13" t="s">
        <v>47</v>
      </c>
    </row>
    <row r="82" ht="10.95" customHeight="true" customFormat="true" s="8">
      <c r="A82" s="15" t="s">
        <v>92</v>
      </c>
      <c r="B82" s="15"/>
      <c r="C82" s="15"/>
      <c r="D82" s="15"/>
      <c r="E82" s="15"/>
      <c r="F82" s="16">
        <f ca="1">SUM(F61:F81)</f>
        <v>0</v>
      </c>
      <c r="G82" s="16">
        <f ca="1">SUM(G61:G81)</f>
        <v>0</v>
      </c>
      <c r="H82" s="16">
        <f ca="1">SUM(H61:H81)</f>
        <v>0</v>
      </c>
      <c r="I82" s="16">
        <f ca="1">SUM(I61:I81)</f>
        <v>0</v>
      </c>
      <c r="J82" s="15"/>
    </row>
    <row r="83" ht="13.35" customHeight="true"/>
    <row r="84" ht="12.1" customHeight="true" customFormat="true" s="5">
      <c r="A84" s="17" t="s">
        <v>93</v>
      </c>
      <c r="B84" s="17"/>
      <c r="C84" s="17"/>
      <c r="D84" s="17"/>
      <c r="E84" s="17"/>
      <c r="F84" s="17"/>
      <c r="G84" s="17"/>
      <c r="H84" s="17"/>
      <c r="I84" s="17"/>
      <c r="J84" s="17"/>
    </row>
    <row r="85" ht="10.95" customHeight="true" customFormat="true" s="8">
      <c r="A85" s="9">
        <v>44148</v>
      </c>
      <c r="B85" s="10" t="s">
        <v>25</v>
      </c>
      <c r="C85" s="10" t="s">
        <v>94</v>
      </c>
      <c r="D85" s="10" t="s">
        <v>95</v>
      </c>
      <c r="E85" s="10" t="s">
        <v>16</v>
      </c>
      <c r="F85" s="11">
        <v>0</v>
      </c>
      <c r="G85" s="11">
        <v>214.5000</v>
      </c>
      <c r="H85" s="11">
        <v>0</v>
      </c>
      <c r="I85" s="11">
        <v>214.5000</v>
      </c>
      <c r="J85" s="10" t="s">
        <v>47</v>
      </c>
    </row>
    <row r="86" ht="10.95" customHeight="true" customFormat="true" s="8">
      <c r="A86" s="12">
        <v>44148</v>
      </c>
      <c r="B86" s="13" t="s">
        <v>25</v>
      </c>
      <c r="C86" s="13" t="s">
        <v>94</v>
      </c>
      <c r="D86" s="13" t="s">
        <v>96</v>
      </c>
      <c r="E86" s="13" t="s">
        <v>16</v>
      </c>
      <c r="F86" s="14">
        <v>0</v>
      </c>
      <c r="G86" s="14">
        <v>858.0000</v>
      </c>
      <c r="H86" s="14">
        <v>0</v>
      </c>
      <c r="I86" s="14">
        <v>858.0000</v>
      </c>
      <c r="J86" s="13" t="s">
        <v>47</v>
      </c>
    </row>
    <row r="87" ht="10.95" customHeight="true" customFormat="true" s="8">
      <c r="A87" s="12">
        <v>44148</v>
      </c>
      <c r="B87" s="13" t="s">
        <v>25</v>
      </c>
      <c r="C87" s="13" t="s">
        <v>97</v>
      </c>
      <c r="D87" s="13" t="s">
        <v>98</v>
      </c>
      <c r="E87" s="13" t="s">
        <v>16</v>
      </c>
      <c r="F87" s="14">
        <v>0</v>
      </c>
      <c r="G87" s="14">
        <v>214.5000</v>
      </c>
      <c r="H87" s="14">
        <v>0</v>
      </c>
      <c r="I87" s="14">
        <v>214.5000</v>
      </c>
      <c r="J87" s="13" t="s">
        <v>22</v>
      </c>
    </row>
    <row r="88" ht="10.95" customHeight="true" customFormat="true" s="8">
      <c r="A88" s="12">
        <v>44148</v>
      </c>
      <c r="B88" s="13" t="s">
        <v>25</v>
      </c>
      <c r="C88" s="13" t="s">
        <v>99</v>
      </c>
      <c r="D88" s="13" t="s">
        <v>96</v>
      </c>
      <c r="E88" s="13" t="s">
        <v>16</v>
      </c>
      <c r="F88" s="14">
        <v>0</v>
      </c>
      <c r="G88" s="14">
        <v>858.0000</v>
      </c>
      <c r="H88" s="14">
        <v>0</v>
      </c>
      <c r="I88" s="14">
        <v>858.0000</v>
      </c>
      <c r="J88" s="13" t="s">
        <v>22</v>
      </c>
    </row>
    <row r="89" ht="10.95" customHeight="true" customFormat="true" s="8">
      <c r="A89" s="12">
        <v>44159</v>
      </c>
      <c r="B89" s="13" t="s">
        <v>25</v>
      </c>
      <c r="C89" s="13" t="s">
        <v>99</v>
      </c>
      <c r="D89" s="13" t="s">
        <v>100</v>
      </c>
      <c r="E89" s="13" t="s">
        <v>16</v>
      </c>
      <c r="F89" s="14">
        <v>0</v>
      </c>
      <c r="G89" s="14">
        <v>214.5000</v>
      </c>
      <c r="H89" s="14">
        <v>0</v>
      </c>
      <c r="I89" s="14">
        <v>214.5000</v>
      </c>
      <c r="J89" s="13" t="s">
        <v>22</v>
      </c>
    </row>
    <row r="90" ht="10.95" customHeight="true" customFormat="true" s="8">
      <c r="A90" s="12">
        <v>44203</v>
      </c>
      <c r="B90" s="13" t="s">
        <v>25</v>
      </c>
      <c r="C90" s="13" t="s">
        <v>101</v>
      </c>
      <c r="D90" s="13" t="s">
        <v>102</v>
      </c>
      <c r="E90" s="13" t="s">
        <v>16</v>
      </c>
      <c r="F90" s="14">
        <v>0</v>
      </c>
      <c r="G90" s="14">
        <v>1755.0000</v>
      </c>
      <c r="H90" s="14">
        <v>0</v>
      </c>
      <c r="I90" s="14">
        <v>1755.0000</v>
      </c>
      <c r="J90" s="13" t="s">
        <v>58</v>
      </c>
    </row>
    <row r="91" ht="10.95" customHeight="true" customFormat="true" s="8">
      <c r="A91" s="12">
        <v>44203</v>
      </c>
      <c r="B91" s="13" t="s">
        <v>25</v>
      </c>
      <c r="C91" s="13" t="s">
        <v>99</v>
      </c>
      <c r="D91" s="13" t="s">
        <v>103</v>
      </c>
      <c r="E91" s="13" t="s">
        <v>16</v>
      </c>
      <c r="F91" s="14">
        <v>0</v>
      </c>
      <c r="G91" s="14">
        <v>1287.0000</v>
      </c>
      <c r="H91" s="14">
        <v>0</v>
      </c>
      <c r="I91" s="14">
        <v>1287.0000</v>
      </c>
      <c r="J91" s="13" t="s">
        <v>22</v>
      </c>
    </row>
    <row r="92" ht="10.95" customHeight="true" customFormat="true" s="8">
      <c r="A92" s="12">
        <v>44203</v>
      </c>
      <c r="B92" s="13" t="s">
        <v>25</v>
      </c>
      <c r="C92" s="13" t="s">
        <v>94</v>
      </c>
      <c r="D92" s="13" t="s">
        <v>102</v>
      </c>
      <c r="E92" s="13" t="s">
        <v>16</v>
      </c>
      <c r="F92" s="14">
        <v>0</v>
      </c>
      <c r="G92" s="14">
        <v>1287.0000</v>
      </c>
      <c r="H92" s="14">
        <v>0</v>
      </c>
      <c r="I92" s="14">
        <v>1287.0000</v>
      </c>
      <c r="J92" s="13" t="s">
        <v>47</v>
      </c>
    </row>
    <row r="93" ht="10.95" customHeight="true" customFormat="true" s="8">
      <c r="A93" s="12">
        <v>44203</v>
      </c>
      <c r="B93" s="13" t="s">
        <v>25</v>
      </c>
      <c r="C93" s="13" t="s">
        <v>94</v>
      </c>
      <c r="D93" s="13" t="s">
        <v>103</v>
      </c>
      <c r="E93" s="13" t="s">
        <v>16</v>
      </c>
      <c r="F93" s="14">
        <v>0</v>
      </c>
      <c r="G93" s="14">
        <v>1287.0000</v>
      </c>
      <c r="H93" s="14">
        <v>0</v>
      </c>
      <c r="I93" s="14">
        <v>1287.0000</v>
      </c>
      <c r="J93" s="13" t="s">
        <v>47</v>
      </c>
    </row>
    <row r="94" ht="10.95" customHeight="true" customFormat="true" s="8">
      <c r="A94" s="12">
        <v>44242</v>
      </c>
      <c r="B94" s="13" t="s">
        <v>25</v>
      </c>
      <c r="C94" s="13" t="s">
        <v>99</v>
      </c>
      <c r="D94" s="13" t="s">
        <v>104</v>
      </c>
      <c r="E94" s="13" t="s">
        <v>16</v>
      </c>
      <c r="F94" s="14">
        <v>0</v>
      </c>
      <c r="G94" s="14">
        <v>1072.5000</v>
      </c>
      <c r="H94" s="14">
        <v>0</v>
      </c>
      <c r="I94" s="14">
        <v>1072.5000</v>
      </c>
      <c r="J94" s="13" t="s">
        <v>22</v>
      </c>
    </row>
    <row r="95" ht="10.95" customHeight="true" customFormat="true" s="8">
      <c r="A95" s="12">
        <v>44242</v>
      </c>
      <c r="B95" s="13" t="s">
        <v>25</v>
      </c>
      <c r="C95" s="13" t="s">
        <v>94</v>
      </c>
      <c r="D95" s="13" t="s">
        <v>104</v>
      </c>
      <c r="E95" s="13" t="s">
        <v>16</v>
      </c>
      <c r="F95" s="14">
        <v>0</v>
      </c>
      <c r="G95" s="14">
        <v>1287.0000</v>
      </c>
      <c r="H95" s="14">
        <v>0</v>
      </c>
      <c r="I95" s="14">
        <v>1287.0000</v>
      </c>
      <c r="J95" s="13" t="s">
        <v>47</v>
      </c>
    </row>
    <row r="96" ht="10.95" customHeight="true" customFormat="true" s="8">
      <c r="A96" s="12">
        <v>44300</v>
      </c>
      <c r="B96" s="13" t="s">
        <v>25</v>
      </c>
      <c r="C96" s="13" t="s">
        <v>99</v>
      </c>
      <c r="D96" s="13" t="s">
        <v>105</v>
      </c>
      <c r="E96" s="13" t="s">
        <v>16</v>
      </c>
      <c r="F96" s="14">
        <v>0</v>
      </c>
      <c r="G96" s="14">
        <v>429.0000</v>
      </c>
      <c r="H96" s="14">
        <v>0</v>
      </c>
      <c r="I96" s="14">
        <v>429.0000</v>
      </c>
      <c r="J96" s="13" t="s">
        <v>22</v>
      </c>
    </row>
    <row r="97" ht="10.95" customHeight="true" customFormat="true" s="8">
      <c r="A97" s="12">
        <v>44300</v>
      </c>
      <c r="B97" s="13" t="s">
        <v>25</v>
      </c>
      <c r="C97" s="13" t="s">
        <v>99</v>
      </c>
      <c r="D97" s="13" t="s">
        <v>106</v>
      </c>
      <c r="E97" s="13" t="s">
        <v>16</v>
      </c>
      <c r="F97" s="14">
        <v>0</v>
      </c>
      <c r="G97" s="14">
        <v>1287.0000</v>
      </c>
      <c r="H97" s="14">
        <v>0</v>
      </c>
      <c r="I97" s="14">
        <v>1287.0000</v>
      </c>
      <c r="J97" s="13" t="s">
        <v>22</v>
      </c>
    </row>
    <row r="98" ht="10.95" customHeight="true" customFormat="true" s="8">
      <c r="A98" s="12">
        <v>44300</v>
      </c>
      <c r="B98" s="13" t="s">
        <v>25</v>
      </c>
      <c r="C98" s="13" t="s">
        <v>94</v>
      </c>
      <c r="D98" s="13" t="s">
        <v>105</v>
      </c>
      <c r="E98" s="13" t="s">
        <v>16</v>
      </c>
      <c r="F98" s="14">
        <v>0</v>
      </c>
      <c r="G98" s="14">
        <v>429.0000</v>
      </c>
      <c r="H98" s="14">
        <v>0</v>
      </c>
      <c r="I98" s="14">
        <v>429.0000</v>
      </c>
      <c r="J98" s="13" t="s">
        <v>47</v>
      </c>
    </row>
    <row r="99" ht="10.95" customHeight="true" customFormat="true" s="8">
      <c r="A99" s="12">
        <v>44300</v>
      </c>
      <c r="B99" s="13" t="s">
        <v>25</v>
      </c>
      <c r="C99" s="13" t="s">
        <v>94</v>
      </c>
      <c r="D99" s="13" t="s">
        <v>106</v>
      </c>
      <c r="E99" s="13" t="s">
        <v>16</v>
      </c>
      <c r="F99" s="14">
        <v>0</v>
      </c>
      <c r="G99" s="14">
        <v>1501.5000</v>
      </c>
      <c r="H99" s="14">
        <v>0</v>
      </c>
      <c r="I99" s="14">
        <v>1501.5000</v>
      </c>
      <c r="J99" s="13" t="s">
        <v>47</v>
      </c>
    </row>
    <row r="100" ht="10.95" customHeight="true" customFormat="true" s="8">
      <c r="A100" s="12">
        <v>44342</v>
      </c>
      <c r="B100" s="13" t="s">
        <v>25</v>
      </c>
      <c r="C100" s="13" t="s">
        <v>99</v>
      </c>
      <c r="D100" s="13" t="s">
        <v>107</v>
      </c>
      <c r="E100" s="13" t="s">
        <v>16</v>
      </c>
      <c r="F100" s="14">
        <v>0</v>
      </c>
      <c r="G100" s="14">
        <v>1287.0000</v>
      </c>
      <c r="H100" s="14">
        <v>0</v>
      </c>
      <c r="I100" s="14">
        <v>1287.0000</v>
      </c>
      <c r="J100" s="13" t="s">
        <v>22</v>
      </c>
    </row>
    <row r="101" ht="10.95" customHeight="true" customFormat="true" s="8">
      <c r="A101" s="12">
        <v>44342</v>
      </c>
      <c r="B101" s="13" t="s">
        <v>25</v>
      </c>
      <c r="C101" s="13" t="s">
        <v>94</v>
      </c>
      <c r="D101" s="13" t="s">
        <v>107</v>
      </c>
      <c r="E101" s="13" t="s">
        <v>16</v>
      </c>
      <c r="F101" s="14">
        <v>0</v>
      </c>
      <c r="G101" s="14">
        <v>1501.5000</v>
      </c>
      <c r="H101" s="14">
        <v>0</v>
      </c>
      <c r="I101" s="14">
        <v>1501.5000</v>
      </c>
      <c r="J101" s="13" t="s">
        <v>47</v>
      </c>
    </row>
    <row r="102" ht="10.95" customHeight="true" customFormat="true" s="8">
      <c r="A102" s="12">
        <v>44664</v>
      </c>
      <c r="B102" s="13" t="s">
        <v>25</v>
      </c>
      <c r="C102" s="13" t="s">
        <v>108</v>
      </c>
      <c r="D102" s="13" t="s">
        <v>109</v>
      </c>
      <c r="E102" s="13" t="s">
        <v>16</v>
      </c>
      <c r="F102" s="14">
        <v>0</v>
      </c>
      <c r="G102" s="14">
        <v>911.6300</v>
      </c>
      <c r="H102" s="14">
        <v>0</v>
      </c>
      <c r="I102" s="14">
        <v>911.6300</v>
      </c>
      <c r="J102" s="13" t="s">
        <v>47</v>
      </c>
    </row>
    <row r="103" ht="10.95" customHeight="true" customFormat="true" s="8">
      <c r="A103" s="12">
        <v>44664</v>
      </c>
      <c r="B103" s="13" t="s">
        <v>25</v>
      </c>
      <c r="C103" s="13" t="s">
        <v>110</v>
      </c>
      <c r="D103" s="13" t="s">
        <v>109</v>
      </c>
      <c r="E103" s="13" t="s">
        <v>16</v>
      </c>
      <c r="F103" s="14">
        <v>0</v>
      </c>
      <c r="G103" s="14">
        <v>911.6300</v>
      </c>
      <c r="H103" s="14">
        <v>0</v>
      </c>
      <c r="I103" s="14">
        <v>911.6300</v>
      </c>
      <c r="J103" s="13" t="s">
        <v>22</v>
      </c>
    </row>
    <row r="104" ht="10.95" customHeight="true" customFormat="true" s="8">
      <c r="A104" s="12">
        <v>44669</v>
      </c>
      <c r="B104" s="13" t="s">
        <v>25</v>
      </c>
      <c r="C104" s="13" t="s">
        <v>111</v>
      </c>
      <c r="D104" s="13" t="s">
        <v>112</v>
      </c>
      <c r="E104" s="13" t="s">
        <v>16</v>
      </c>
      <c r="F104" s="14">
        <v>0</v>
      </c>
      <c r="G104" s="14">
        <v>351.0000</v>
      </c>
      <c r="H104" s="14">
        <v>0</v>
      </c>
      <c r="I104" s="14">
        <v>351.0000</v>
      </c>
      <c r="J104" s="13" t="s">
        <v>58</v>
      </c>
    </row>
    <row r="105" ht="10.95" customHeight="true" customFormat="true" s="8">
      <c r="A105" s="12">
        <v>44669</v>
      </c>
      <c r="B105" s="13" t="s">
        <v>25</v>
      </c>
      <c r="C105" s="13" t="s">
        <v>113</v>
      </c>
      <c r="D105" s="13" t="s">
        <v>112</v>
      </c>
      <c r="E105" s="13" t="s">
        <v>16</v>
      </c>
      <c r="F105" s="14">
        <v>0</v>
      </c>
      <c r="G105" s="14">
        <v>214.5000</v>
      </c>
      <c r="H105" s="14">
        <v>0</v>
      </c>
      <c r="I105" s="14">
        <v>214.5000</v>
      </c>
      <c r="J105" s="13" t="s">
        <v>22</v>
      </c>
    </row>
    <row r="106" ht="10.95" customHeight="true" customFormat="true" s="8">
      <c r="A106" s="12">
        <v>44669</v>
      </c>
      <c r="B106" s="13" t="s">
        <v>25</v>
      </c>
      <c r="C106" s="13" t="s">
        <v>108</v>
      </c>
      <c r="D106" s="13" t="s">
        <v>112</v>
      </c>
      <c r="E106" s="13" t="s">
        <v>16</v>
      </c>
      <c r="F106" s="14">
        <v>0</v>
      </c>
      <c r="G106" s="14">
        <v>429.0000</v>
      </c>
      <c r="H106" s="14">
        <v>0</v>
      </c>
      <c r="I106" s="14">
        <v>429.0000</v>
      </c>
      <c r="J106" s="13" t="s">
        <v>47</v>
      </c>
    </row>
    <row r="107" ht="10.95" customHeight="true" customFormat="true" s="8">
      <c r="A107" s="12">
        <v>44672</v>
      </c>
      <c r="B107" s="13" t="s">
        <v>25</v>
      </c>
      <c r="C107" s="13" t="s">
        <v>108</v>
      </c>
      <c r="D107" s="13" t="s">
        <v>114</v>
      </c>
      <c r="E107" s="13" t="s">
        <v>16</v>
      </c>
      <c r="F107" s="14">
        <v>0</v>
      </c>
      <c r="G107" s="14">
        <v>1716.0000</v>
      </c>
      <c r="H107" s="14">
        <v>0</v>
      </c>
      <c r="I107" s="14">
        <v>1716.0000</v>
      </c>
      <c r="J107" s="13" t="s">
        <v>47</v>
      </c>
    </row>
    <row r="108" ht="10.95" customHeight="true" customFormat="true" s="8">
      <c r="A108" s="12">
        <v>44672</v>
      </c>
      <c r="B108" s="13" t="s">
        <v>25</v>
      </c>
      <c r="C108" s="13" t="s">
        <v>110</v>
      </c>
      <c r="D108" s="13" t="s">
        <v>114</v>
      </c>
      <c r="E108" s="13" t="s">
        <v>16</v>
      </c>
      <c r="F108" s="14">
        <v>0</v>
      </c>
      <c r="G108" s="14">
        <v>1501.5000</v>
      </c>
      <c r="H108" s="14">
        <v>0</v>
      </c>
      <c r="I108" s="14">
        <v>1501.5000</v>
      </c>
      <c r="J108" s="13" t="s">
        <v>22</v>
      </c>
    </row>
    <row r="109" ht="10.95" customHeight="true" customFormat="true" s="8">
      <c r="A109" s="12">
        <v>44711</v>
      </c>
      <c r="B109" s="13" t="s">
        <v>25</v>
      </c>
      <c r="C109" s="13" t="s">
        <v>108</v>
      </c>
      <c r="D109" s="13" t="s">
        <v>115</v>
      </c>
      <c r="E109" s="13" t="s">
        <v>16</v>
      </c>
      <c r="F109" s="14">
        <v>0</v>
      </c>
      <c r="G109" s="14">
        <v>1287.0000</v>
      </c>
      <c r="H109" s="14">
        <v>0</v>
      </c>
      <c r="I109" s="14">
        <v>1287.0000</v>
      </c>
      <c r="J109" s="13" t="s">
        <v>47</v>
      </c>
    </row>
    <row r="110" ht="10.95" customHeight="true" customFormat="true" s="8">
      <c r="A110" s="12">
        <v>44711</v>
      </c>
      <c r="B110" s="13" t="s">
        <v>25</v>
      </c>
      <c r="C110" s="13" t="s">
        <v>110</v>
      </c>
      <c r="D110" s="13" t="s">
        <v>115</v>
      </c>
      <c r="E110" s="13" t="s">
        <v>16</v>
      </c>
      <c r="F110" s="14">
        <v>0</v>
      </c>
      <c r="G110" s="14">
        <v>1287.0000</v>
      </c>
      <c r="H110" s="14">
        <v>0</v>
      </c>
      <c r="I110" s="14">
        <v>1287.0000</v>
      </c>
      <c r="J110" s="13" t="s">
        <v>22</v>
      </c>
    </row>
    <row r="111" ht="10.95" customHeight="true" customFormat="true" s="8">
      <c r="A111" s="12">
        <v>44774</v>
      </c>
      <c r="B111" s="13" t="s">
        <v>25</v>
      </c>
      <c r="C111" s="13" t="s">
        <v>110</v>
      </c>
      <c r="D111" s="13" t="s">
        <v>116</v>
      </c>
      <c r="E111" s="13" t="s">
        <v>16</v>
      </c>
      <c r="F111" s="14">
        <v>0</v>
      </c>
      <c r="G111" s="14">
        <v>429.0000</v>
      </c>
      <c r="H111" s="14">
        <v>0</v>
      </c>
      <c r="I111" s="14">
        <v>429.0000</v>
      </c>
      <c r="J111" s="13" t="s">
        <v>22</v>
      </c>
    </row>
    <row r="112" ht="10.95" customHeight="true" customFormat="true" s="8">
      <c r="A112" s="12">
        <v>44774</v>
      </c>
      <c r="B112" s="13" t="s">
        <v>25</v>
      </c>
      <c r="C112" s="13" t="s">
        <v>108</v>
      </c>
      <c r="D112" s="13" t="s">
        <v>116</v>
      </c>
      <c r="E112" s="13" t="s">
        <v>16</v>
      </c>
      <c r="F112" s="14">
        <v>0</v>
      </c>
      <c r="G112" s="14">
        <v>429.0000</v>
      </c>
      <c r="H112" s="14">
        <v>0</v>
      </c>
      <c r="I112" s="14">
        <v>429.0000</v>
      </c>
      <c r="J112" s="13" t="s">
        <v>47</v>
      </c>
    </row>
    <row r="113" ht="10.95" customHeight="true" customFormat="true" s="8">
      <c r="A113" s="12">
        <v>44894</v>
      </c>
      <c r="B113" s="13" t="s">
        <v>25</v>
      </c>
      <c r="C113" s="13" t="s">
        <v>108</v>
      </c>
      <c r="D113" s="13" t="s">
        <v>117</v>
      </c>
      <c r="E113" s="13" t="s">
        <v>16</v>
      </c>
      <c r="F113" s="14">
        <v>0</v>
      </c>
      <c r="G113" s="14">
        <v>858.0000</v>
      </c>
      <c r="H113" s="14">
        <v>0</v>
      </c>
      <c r="I113" s="14">
        <v>858.0000</v>
      </c>
      <c r="J113" s="13" t="s">
        <v>47</v>
      </c>
    </row>
    <row r="114" ht="10.95" customHeight="true" customFormat="true" s="8">
      <c r="A114" s="12">
        <v>44894</v>
      </c>
      <c r="B114" s="13" t="s">
        <v>25</v>
      </c>
      <c r="C114" s="13" t="s">
        <v>110</v>
      </c>
      <c r="D114" s="13" t="s">
        <v>117</v>
      </c>
      <c r="E114" s="13" t="s">
        <v>16</v>
      </c>
      <c r="F114" s="14">
        <v>0</v>
      </c>
      <c r="G114" s="14">
        <v>858.0000</v>
      </c>
      <c r="H114" s="14">
        <v>0</v>
      </c>
      <c r="I114" s="14">
        <v>858.0000</v>
      </c>
      <c r="J114" s="13" t="s">
        <v>22</v>
      </c>
    </row>
    <row r="115" ht="10.95" customHeight="true" customFormat="true" s="8">
      <c r="A115" s="12">
        <v>45442</v>
      </c>
      <c r="B115" s="13" t="s">
        <v>25</v>
      </c>
      <c r="C115" s="13" t="s">
        <v>110</v>
      </c>
      <c r="D115" s="13" t="s">
        <v>118</v>
      </c>
      <c r="E115" s="13" t="s">
        <v>16</v>
      </c>
      <c r="F115" s="14">
        <v>0</v>
      </c>
      <c r="G115" s="14">
        <v>2106.0000</v>
      </c>
      <c r="H115" s="14">
        <v>0</v>
      </c>
      <c r="I115" s="14">
        <v>2106.0000</v>
      </c>
      <c r="J115" s="13" t="s">
        <v>22</v>
      </c>
    </row>
    <row r="116" ht="10.95" customHeight="true" customFormat="true" s="8">
      <c r="A116" s="12">
        <v>45442</v>
      </c>
      <c r="B116" s="13" t="s">
        <v>25</v>
      </c>
      <c r="C116" s="13" t="s">
        <v>108</v>
      </c>
      <c r="D116" s="13" t="s">
        <v>118</v>
      </c>
      <c r="E116" s="13" t="s">
        <v>16</v>
      </c>
      <c r="F116" s="14">
        <v>0</v>
      </c>
      <c r="G116" s="14">
        <v>2340.0000</v>
      </c>
      <c r="H116" s="14">
        <v>0</v>
      </c>
      <c r="I116" s="14">
        <v>2340.0000</v>
      </c>
      <c r="J116" s="13" t="s">
        <v>47</v>
      </c>
    </row>
    <row r="117" ht="10.95" customHeight="true" customFormat="true" s="8">
      <c r="A117" s="12">
        <v>45597</v>
      </c>
      <c r="B117" s="13" t="s">
        <v>25</v>
      </c>
      <c r="C117" s="13" t="s">
        <v>110</v>
      </c>
      <c r="D117" s="13" t="s">
        <v>119</v>
      </c>
      <c r="E117" s="13" t="s">
        <v>16</v>
      </c>
      <c r="F117" s="14">
        <v>0</v>
      </c>
      <c r="G117" s="14">
        <v>2106.0000</v>
      </c>
      <c r="H117" s="14">
        <v>0</v>
      </c>
      <c r="I117" s="14">
        <v>2106.0000</v>
      </c>
      <c r="J117" s="13" t="s">
        <v>22</v>
      </c>
    </row>
    <row r="118" ht="10.95" customHeight="true" customFormat="true" s="8">
      <c r="A118" s="12">
        <v>45597</v>
      </c>
      <c r="B118" s="13" t="s">
        <v>25</v>
      </c>
      <c r="C118" s="13" t="s">
        <v>108</v>
      </c>
      <c r="D118" s="13" t="s">
        <v>119</v>
      </c>
      <c r="E118" s="13" t="s">
        <v>16</v>
      </c>
      <c r="F118" s="14">
        <v>0</v>
      </c>
      <c r="G118" s="14">
        <v>1872.0000</v>
      </c>
      <c r="H118" s="14">
        <v>0</v>
      </c>
      <c r="I118" s="14">
        <v>1872.0000</v>
      </c>
      <c r="J118" s="13" t="s">
        <v>47</v>
      </c>
    </row>
    <row r="119" ht="10.95" customHeight="true" customFormat="true" s="8">
      <c r="A119" s="12">
        <v>45612</v>
      </c>
      <c r="B119" s="13" t="s">
        <v>25</v>
      </c>
      <c r="C119" s="13" t="s">
        <v>108</v>
      </c>
      <c r="D119" s="13" t="s">
        <v>120</v>
      </c>
      <c r="E119" s="13" t="s">
        <v>16</v>
      </c>
      <c r="F119" s="14">
        <v>0</v>
      </c>
      <c r="G119" s="14">
        <v>936.0000</v>
      </c>
      <c r="H119" s="14">
        <v>0</v>
      </c>
      <c r="I119" s="14">
        <v>936.0000</v>
      </c>
      <c r="J119" s="13" t="s">
        <v>47</v>
      </c>
    </row>
    <row r="120" ht="10.95" customHeight="true" customFormat="true" s="8">
      <c r="A120" s="12">
        <v>45612</v>
      </c>
      <c r="B120" s="13" t="s">
        <v>25</v>
      </c>
      <c r="C120" s="13" t="s">
        <v>110</v>
      </c>
      <c r="D120" s="13" t="s">
        <v>120</v>
      </c>
      <c r="E120" s="13" t="s">
        <v>16</v>
      </c>
      <c r="F120" s="14">
        <v>0</v>
      </c>
      <c r="G120" s="14">
        <v>1170.0000</v>
      </c>
      <c r="H120" s="14">
        <v>0</v>
      </c>
      <c r="I120" s="14">
        <v>1170.0000</v>
      </c>
      <c r="J120" s="13" t="s">
        <v>22</v>
      </c>
    </row>
    <row r="121" ht="10.95" customHeight="true" customFormat="true" s="8">
      <c r="A121" s="12">
        <v>45825</v>
      </c>
      <c r="B121" s="13" t="s">
        <v>25</v>
      </c>
      <c r="C121" s="13" t="s">
        <v>110</v>
      </c>
      <c r="D121" s="13" t="s">
        <v>121</v>
      </c>
      <c r="E121" s="13" t="s">
        <v>16</v>
      </c>
      <c r="F121" s="14">
        <v>0</v>
      </c>
      <c r="G121" s="14">
        <v>1170.0000</v>
      </c>
      <c r="H121" s="14">
        <v>0</v>
      </c>
      <c r="I121" s="14">
        <v>1170.0000</v>
      </c>
      <c r="J121" s="13" t="s">
        <v>22</v>
      </c>
    </row>
    <row r="122" ht="10.95" customHeight="true" customFormat="true" s="8">
      <c r="A122" s="12">
        <v>45825</v>
      </c>
      <c r="B122" s="13" t="s">
        <v>25</v>
      </c>
      <c r="C122" s="13" t="s">
        <v>108</v>
      </c>
      <c r="D122" s="13" t="s">
        <v>121</v>
      </c>
      <c r="E122" s="13" t="s">
        <v>16</v>
      </c>
      <c r="F122" s="14">
        <v>0</v>
      </c>
      <c r="G122" s="14">
        <v>1404.0000</v>
      </c>
      <c r="H122" s="14">
        <v>0</v>
      </c>
      <c r="I122" s="14">
        <v>1404.0000</v>
      </c>
      <c r="J122" s="13" t="s">
        <v>47</v>
      </c>
    </row>
    <row r="123" ht="10.95" customHeight="true" customFormat="true" s="8">
      <c r="A123" s="15" t="s">
        <v>122</v>
      </c>
      <c r="B123" s="15"/>
      <c r="C123" s="15"/>
      <c r="D123" s="15"/>
      <c r="E123" s="15"/>
      <c r="F123" s="16">
        <f ca="1">SUM(F85:F122)</f>
        <v>0</v>
      </c>
      <c r="G123" s="16">
        <f ca="1">SUM(G85:G122)</f>
        <v>0</v>
      </c>
      <c r="H123" s="16">
        <f ca="1">SUM(H85:H122)</f>
        <v>0</v>
      </c>
      <c r="I123" s="16">
        <f ca="1">SUM(I85:I122)</f>
        <v>0</v>
      </c>
      <c r="J123" s="15"/>
    </row>
    <row r="124" ht="13.35" customHeight="true"/>
    <row r="125" ht="12.1" customHeight="true" customFormat="true" s="5">
      <c r="A125" s="17" t="s">
        <v>123</v>
      </c>
      <c r="B125" s="17"/>
      <c r="C125" s="17"/>
      <c r="D125" s="17"/>
      <c r="E125" s="17"/>
      <c r="F125" s="17"/>
      <c r="G125" s="17"/>
      <c r="H125" s="17"/>
      <c r="I125" s="17"/>
      <c r="J125" s="17"/>
    </row>
    <row r="126" ht="10.95" customHeight="true" customFormat="true" s="8">
      <c r="A126" s="9">
        <v>45527</v>
      </c>
      <c r="B126" s="10" t="s">
        <v>25</v>
      </c>
      <c r="C126" s="10" t="s">
        <v>124</v>
      </c>
      <c r="D126" s="10" t="s">
        <v>125</v>
      </c>
      <c r="E126" s="10" t="s">
        <v>16</v>
      </c>
      <c r="F126" s="11">
        <v>0</v>
      </c>
      <c r="G126" s="11">
        <v>1684.8000</v>
      </c>
      <c r="H126" s="11">
        <v>0</v>
      </c>
      <c r="I126" s="11">
        <v>1684.8000</v>
      </c>
      <c r="J126" s="10" t="s">
        <v>22</v>
      </c>
    </row>
    <row r="127" ht="10.95" customHeight="true" customFormat="true" s="8">
      <c r="A127" s="12">
        <v>45527</v>
      </c>
      <c r="B127" s="13" t="s">
        <v>25</v>
      </c>
      <c r="C127" s="13" t="s">
        <v>126</v>
      </c>
      <c r="D127" s="13" t="s">
        <v>125</v>
      </c>
      <c r="E127" s="13" t="s">
        <v>16</v>
      </c>
      <c r="F127" s="14">
        <v>0</v>
      </c>
      <c r="G127" s="14">
        <v>4435.2000</v>
      </c>
      <c r="H127" s="14">
        <v>0</v>
      </c>
      <c r="I127" s="14">
        <v>4435.2000</v>
      </c>
      <c r="J127" s="13" t="s">
        <v>58</v>
      </c>
    </row>
    <row r="128" ht="10.95" customHeight="true" customFormat="true" s="8">
      <c r="A128" s="12">
        <v>45527</v>
      </c>
      <c r="B128" s="13" t="s">
        <v>25</v>
      </c>
      <c r="C128" s="13" t="s">
        <v>127</v>
      </c>
      <c r="D128" s="13" t="s">
        <v>125</v>
      </c>
      <c r="E128" s="13" t="s">
        <v>16</v>
      </c>
      <c r="F128" s="14">
        <v>0</v>
      </c>
      <c r="G128" s="14">
        <v>1872.0000</v>
      </c>
      <c r="H128" s="14">
        <v>0</v>
      </c>
      <c r="I128" s="14">
        <v>1872.0000</v>
      </c>
      <c r="J128" s="13" t="s">
        <v>47</v>
      </c>
    </row>
    <row r="129" ht="10.95" customHeight="true" customFormat="true" s="8">
      <c r="A129" s="15" t="s">
        <v>128</v>
      </c>
      <c r="B129" s="15"/>
      <c r="C129" s="15"/>
      <c r="D129" s="15"/>
      <c r="E129" s="15"/>
      <c r="F129" s="16">
        <f ca="1">SUM(F126:F128)</f>
        <v>0</v>
      </c>
      <c r="G129" s="16">
        <f ca="1">SUM(G126:G128)</f>
        <v>0</v>
      </c>
      <c r="H129" s="16">
        <f ca="1">SUM(H126:H128)</f>
        <v>0</v>
      </c>
      <c r="I129" s="16">
        <f ca="1">SUM(I126:I128)</f>
        <v>0</v>
      </c>
      <c r="J129" s="15"/>
    </row>
    <row r="130" ht="13.35" customHeight="true"/>
    <row r="131" ht="12.1" customHeight="true" customFormat="true" s="5">
      <c r="A131" s="17" t="s">
        <v>129</v>
      </c>
      <c r="B131" s="17"/>
      <c r="C131" s="17"/>
      <c r="D131" s="17"/>
      <c r="E131" s="17"/>
      <c r="F131" s="17"/>
      <c r="G131" s="17"/>
      <c r="H131" s="17"/>
      <c r="I131" s="17"/>
      <c r="J131" s="17"/>
    </row>
    <row r="132" ht="10.95" customHeight="true" customFormat="true" s="8">
      <c r="A132" s="9">
        <v>43248</v>
      </c>
      <c r="B132" s="10" t="s">
        <v>25</v>
      </c>
      <c r="C132" s="10" t="s">
        <v>130</v>
      </c>
      <c r="D132" s="10" t="s">
        <v>131</v>
      </c>
      <c r="E132" s="10" t="s">
        <v>16</v>
      </c>
      <c r="F132" s="11">
        <v>0</v>
      </c>
      <c r="G132" s="11">
        <v>1248.0000</v>
      </c>
      <c r="H132" s="11">
        <v>0</v>
      </c>
      <c r="I132" s="11">
        <v>1248.0000</v>
      </c>
      <c r="J132" s="10" t="s">
        <v>30</v>
      </c>
    </row>
    <row r="133" ht="10.95" customHeight="true" customFormat="true" s="8">
      <c r="A133" s="15" t="s">
        <v>132</v>
      </c>
      <c r="B133" s="15"/>
      <c r="C133" s="15"/>
      <c r="D133" s="15"/>
      <c r="E133" s="15"/>
      <c r="F133" s="16">
        <f ca="1">F132</f>
        <v>0</v>
      </c>
      <c r="G133" s="16">
        <f ca="1">G132</f>
        <v>0</v>
      </c>
      <c r="H133" s="16">
        <f ca="1">H132</f>
        <v>0</v>
      </c>
      <c r="I133" s="16">
        <f ca="1">I132</f>
        <v>0</v>
      </c>
      <c r="J133" s="15"/>
    </row>
    <row r="134" ht="13.35" customHeight="true"/>
    <row r="135" ht="12.1" customHeight="true" customFormat="true" s="5">
      <c r="A135" s="17" t="s">
        <v>133</v>
      </c>
      <c r="B135" s="17"/>
      <c r="C135" s="17"/>
      <c r="D135" s="17"/>
      <c r="E135" s="17"/>
      <c r="F135" s="17"/>
      <c r="G135" s="17"/>
      <c r="H135" s="17"/>
      <c r="I135" s="17"/>
      <c r="J135" s="17"/>
    </row>
    <row r="136" ht="10.95" customHeight="true" customFormat="true" s="8">
      <c r="A136" s="9">
        <v>43222</v>
      </c>
      <c r="B136" s="10" t="s">
        <v>25</v>
      </c>
      <c r="C136" s="10" t="s">
        <v>134</v>
      </c>
      <c r="D136" s="10" t="s">
        <v>135</v>
      </c>
      <c r="E136" s="10" t="s">
        <v>16</v>
      </c>
      <c r="F136" s="11">
        <v>0</v>
      </c>
      <c r="G136" s="11">
        <v>6000.0000</v>
      </c>
      <c r="H136" s="11">
        <v>0</v>
      </c>
      <c r="I136" s="11">
        <v>6000.0000</v>
      </c>
      <c r="J136" s="10" t="s">
        <v>30</v>
      </c>
    </row>
    <row r="137" ht="10.95" customHeight="true" customFormat="true" s="8">
      <c r="A137" s="15" t="s">
        <v>136</v>
      </c>
      <c r="B137" s="15"/>
      <c r="C137" s="15"/>
      <c r="D137" s="15"/>
      <c r="E137" s="15"/>
      <c r="F137" s="16">
        <f ca="1">F136</f>
        <v>0</v>
      </c>
      <c r="G137" s="16">
        <f ca="1">G136</f>
        <v>0</v>
      </c>
      <c r="H137" s="16">
        <f ca="1">H136</f>
        <v>0</v>
      </c>
      <c r="I137" s="16">
        <f ca="1">I136</f>
        <v>0</v>
      </c>
      <c r="J137" s="15"/>
    </row>
    <row r="138" ht="13.35" customHeight="true"/>
    <row r="139" ht="12.1" customHeight="true" customFormat="true" s="5">
      <c r="A139" s="17" t="s">
        <v>137</v>
      </c>
      <c r="B139" s="17"/>
      <c r="C139" s="17"/>
      <c r="D139" s="17"/>
      <c r="E139" s="17"/>
      <c r="F139" s="17"/>
      <c r="G139" s="17"/>
      <c r="H139" s="17"/>
      <c r="I139" s="17"/>
      <c r="J139" s="17"/>
    </row>
    <row r="140" ht="10.95" customHeight="true" customFormat="true" s="8">
      <c r="A140" s="9">
        <v>44266</v>
      </c>
      <c r="B140" s="10" t="s">
        <v>25</v>
      </c>
      <c r="C140" s="10" t="s">
        <v>138</v>
      </c>
      <c r="D140" s="10" t="s">
        <v>139</v>
      </c>
      <c r="E140" s="10" t="s">
        <v>16</v>
      </c>
      <c r="F140" s="11">
        <v>0</v>
      </c>
      <c r="G140" s="11">
        <v>1950.0000</v>
      </c>
      <c r="H140" s="11">
        <v>0</v>
      </c>
      <c r="I140" s="11">
        <v>1950.0000</v>
      </c>
      <c r="J140" s="10" t="s">
        <v>47</v>
      </c>
    </row>
    <row r="141" ht="10.95" customHeight="true" customFormat="true" s="8">
      <c r="A141" s="12">
        <v>44300</v>
      </c>
      <c r="B141" s="13" t="s">
        <v>87</v>
      </c>
      <c r="C141" s="13" t="s">
        <v>138</v>
      </c>
      <c r="D141" s="13" t="s">
        <v>140</v>
      </c>
      <c r="E141" s="13" t="s">
        <v>16</v>
      </c>
      <c r="F141" s="14">
        <v>1950.0000</v>
      </c>
      <c r="G141" s="14">
        <v>0</v>
      </c>
      <c r="H141" s="14">
        <v>1950.0000</v>
      </c>
      <c r="I141" s="14">
        <v>0</v>
      </c>
      <c r="J141" s="13" t="s">
        <v>47</v>
      </c>
    </row>
    <row r="142" ht="10.95" customHeight="true" customFormat="true" s="8">
      <c r="A142" s="15" t="s">
        <v>141</v>
      </c>
      <c r="B142" s="15"/>
      <c r="C142" s="15"/>
      <c r="D142" s="15"/>
      <c r="E142" s="15"/>
      <c r="F142" s="16">
        <f ca="1">SUM(F140:F141)</f>
        <v>0</v>
      </c>
      <c r="G142" s="16">
        <f ca="1">SUM(G140:G141)</f>
        <v>0</v>
      </c>
      <c r="H142" s="16">
        <f ca="1">SUM(H140:H141)</f>
        <v>0</v>
      </c>
      <c r="I142" s="16">
        <f ca="1">SUM(I140:I141)</f>
        <v>0</v>
      </c>
      <c r="J142" s="15"/>
    </row>
    <row r="143" ht="13.35" customHeight="true"/>
    <row r="144" ht="12.1" customHeight="true" customFormat="true" s="5">
      <c r="A144" s="17" t="s">
        <v>142</v>
      </c>
      <c r="B144" s="17"/>
      <c r="C144" s="17"/>
      <c r="D144" s="17"/>
      <c r="E144" s="17"/>
      <c r="F144" s="17"/>
      <c r="G144" s="17"/>
      <c r="H144" s="17"/>
      <c r="I144" s="17"/>
      <c r="J144" s="17"/>
    </row>
    <row r="145" ht="10.95" customHeight="true" customFormat="true" s="8">
      <c r="A145" s="9">
        <v>42893</v>
      </c>
      <c r="B145" s="10" t="s">
        <v>25</v>
      </c>
      <c r="C145" s="10" t="s">
        <v>143</v>
      </c>
      <c r="D145" s="10" t="s">
        <v>144</v>
      </c>
      <c r="E145" s="10" t="s">
        <v>16</v>
      </c>
      <c r="F145" s="11">
        <v>0</v>
      </c>
      <c r="G145" s="11">
        <v>295.0000</v>
      </c>
      <c r="H145" s="11">
        <v>0</v>
      </c>
      <c r="I145" s="11">
        <v>295.0000</v>
      </c>
      <c r="J145" s="10" t="s">
        <v>145</v>
      </c>
    </row>
    <row r="146" ht="10.95" customHeight="true" customFormat="true" s="8">
      <c r="A146" s="12">
        <v>42893</v>
      </c>
      <c r="B146" s="13" t="s">
        <v>25</v>
      </c>
      <c r="C146" s="13" t="s">
        <v>146</v>
      </c>
      <c r="D146" s="13" t="s">
        <v>144</v>
      </c>
      <c r="E146" s="13" t="s">
        <v>16</v>
      </c>
      <c r="F146" s="14">
        <v>0</v>
      </c>
      <c r="G146" s="14">
        <v>5280.0000</v>
      </c>
      <c r="H146" s="14">
        <v>0</v>
      </c>
      <c r="I146" s="14">
        <v>5280.0000</v>
      </c>
      <c r="J146" s="13" t="s">
        <v>30</v>
      </c>
    </row>
    <row r="147" ht="10.95" customHeight="true" customFormat="true" s="8">
      <c r="A147" s="12">
        <v>43306</v>
      </c>
      <c r="B147" s="13" t="s">
        <v>25</v>
      </c>
      <c r="C147" s="13" t="s">
        <v>147</v>
      </c>
      <c r="D147" s="13" t="s">
        <v>148</v>
      </c>
      <c r="E147" s="13" t="s">
        <v>16</v>
      </c>
      <c r="F147" s="14">
        <v>0</v>
      </c>
      <c r="G147" s="14">
        <v>2400.0000</v>
      </c>
      <c r="H147" s="14">
        <v>0</v>
      </c>
      <c r="I147" s="14">
        <v>2400.0000</v>
      </c>
      <c r="J147" s="13" t="s">
        <v>41</v>
      </c>
    </row>
    <row r="148" ht="10.95" customHeight="true" customFormat="true" s="8">
      <c r="A148" s="12">
        <v>43446</v>
      </c>
      <c r="B148" s="13" t="s">
        <v>25</v>
      </c>
      <c r="C148" s="13" t="s">
        <v>147</v>
      </c>
      <c r="D148" s="13" t="s">
        <v>149</v>
      </c>
      <c r="E148" s="13" t="s">
        <v>16</v>
      </c>
      <c r="F148" s="14">
        <v>0</v>
      </c>
      <c r="G148" s="14">
        <v>2400.0000</v>
      </c>
      <c r="H148" s="14">
        <v>0</v>
      </c>
      <c r="I148" s="14">
        <v>2400.0000</v>
      </c>
      <c r="J148" s="13" t="s">
        <v>41</v>
      </c>
    </row>
    <row r="149" ht="10.95" customHeight="true" customFormat="true" s="8">
      <c r="A149" s="12">
        <v>44686</v>
      </c>
      <c r="B149" s="13" t="s">
        <v>25</v>
      </c>
      <c r="C149" s="13" t="s">
        <v>150</v>
      </c>
      <c r="D149" s="13" t="s">
        <v>151</v>
      </c>
      <c r="E149" s="13" t="s">
        <v>16</v>
      </c>
      <c r="F149" s="14">
        <v>0</v>
      </c>
      <c r="G149" s="14">
        <v>1501.5000</v>
      </c>
      <c r="H149" s="14">
        <v>0</v>
      </c>
      <c r="I149" s="14">
        <v>1501.5000</v>
      </c>
      <c r="J149" s="13" t="s">
        <v>22</v>
      </c>
    </row>
    <row r="150" ht="10.95" customHeight="true" customFormat="true" s="8">
      <c r="A150" s="12">
        <v>44686</v>
      </c>
      <c r="B150" s="13" t="s">
        <v>25</v>
      </c>
      <c r="C150" s="13" t="s">
        <v>152</v>
      </c>
      <c r="D150" s="13" t="s">
        <v>151</v>
      </c>
      <c r="E150" s="13" t="s">
        <v>16</v>
      </c>
      <c r="F150" s="14">
        <v>0</v>
      </c>
      <c r="G150" s="14">
        <v>1501.5000</v>
      </c>
      <c r="H150" s="14">
        <v>0</v>
      </c>
      <c r="I150" s="14">
        <v>1501.5000</v>
      </c>
      <c r="J150" s="13" t="s">
        <v>47</v>
      </c>
    </row>
    <row r="151" ht="10.95" customHeight="true" customFormat="true" s="8">
      <c r="A151" s="15" t="s">
        <v>153</v>
      </c>
      <c r="B151" s="15"/>
      <c r="C151" s="15"/>
      <c r="D151" s="15"/>
      <c r="E151" s="15"/>
      <c r="F151" s="16">
        <f ca="1">SUM(F145:F150)</f>
        <v>0</v>
      </c>
      <c r="G151" s="16">
        <f ca="1">SUM(G145:G150)</f>
        <v>0</v>
      </c>
      <c r="H151" s="16">
        <f ca="1">SUM(H145:H150)</f>
        <v>0</v>
      </c>
      <c r="I151" s="16">
        <f ca="1">SUM(I145:I150)</f>
        <v>0</v>
      </c>
      <c r="J151" s="15"/>
    </row>
    <row r="152" ht="13.35" customHeight="true"/>
    <row r="153" ht="12.1" customHeight="true" customFormat="true" s="5">
      <c r="A153" s="17" t="s">
        <v>154</v>
      </c>
      <c r="B153" s="17"/>
      <c r="C153" s="17"/>
      <c r="D153" s="17"/>
      <c r="E153" s="17"/>
      <c r="F153" s="17"/>
      <c r="G153" s="17"/>
      <c r="H153" s="17"/>
      <c r="I153" s="17"/>
      <c r="J153" s="17"/>
    </row>
    <row r="154" ht="10.95" customHeight="true" customFormat="true" s="8">
      <c r="A154" s="9">
        <v>42816</v>
      </c>
      <c r="B154" s="10" t="s">
        <v>25</v>
      </c>
      <c r="C154" s="10" t="s">
        <v>155</v>
      </c>
      <c r="D154" s="10" t="s">
        <v>156</v>
      </c>
      <c r="E154" s="10" t="s">
        <v>16</v>
      </c>
      <c r="F154" s="11">
        <v>0</v>
      </c>
      <c r="G154" s="11">
        <v>7200.0000</v>
      </c>
      <c r="H154" s="11">
        <v>0</v>
      </c>
      <c r="I154" s="11">
        <v>7200.0000</v>
      </c>
      <c r="J154" s="10" t="s">
        <v>41</v>
      </c>
    </row>
    <row r="155" ht="10.95" customHeight="true" customFormat="true" s="8">
      <c r="A155" s="12">
        <v>42887</v>
      </c>
      <c r="B155" s="13" t="s">
        <v>25</v>
      </c>
      <c r="C155" s="13" t="s">
        <v>157</v>
      </c>
      <c r="D155" s="13" t="s">
        <v>158</v>
      </c>
      <c r="E155" s="13" t="s">
        <v>16</v>
      </c>
      <c r="F155" s="14">
        <v>0</v>
      </c>
      <c r="G155" s="14">
        <v>3024.0000</v>
      </c>
      <c r="H155" s="14">
        <v>0</v>
      </c>
      <c r="I155" s="14">
        <v>3024.0000</v>
      </c>
      <c r="J155" s="13" t="s">
        <v>17</v>
      </c>
    </row>
    <row r="156" ht="10.95" customHeight="true" customFormat="true" s="8">
      <c r="A156" s="12">
        <v>42887</v>
      </c>
      <c r="B156" s="13" t="s">
        <v>25</v>
      </c>
      <c r="C156" s="13" t="s">
        <v>159</v>
      </c>
      <c r="D156" s="13" t="s">
        <v>158</v>
      </c>
      <c r="E156" s="13" t="s">
        <v>16</v>
      </c>
      <c r="F156" s="14">
        <v>0</v>
      </c>
      <c r="G156" s="14">
        <v>36100.0000</v>
      </c>
      <c r="H156" s="14">
        <v>0</v>
      </c>
      <c r="I156" s="14">
        <v>36100.0000</v>
      </c>
      <c r="J156" s="13" t="s">
        <v>17</v>
      </c>
    </row>
    <row r="157" ht="10.95" customHeight="true" customFormat="true" s="8">
      <c r="A157" s="12">
        <v>42887</v>
      </c>
      <c r="B157" s="13" t="s">
        <v>25</v>
      </c>
      <c r="C157" s="13" t="s">
        <v>160</v>
      </c>
      <c r="D157" s="13" t="s">
        <v>158</v>
      </c>
      <c r="E157" s="13" t="s">
        <v>16</v>
      </c>
      <c r="F157" s="14">
        <v>100.0000</v>
      </c>
      <c r="G157" s="14">
        <v>0</v>
      </c>
      <c r="H157" s="14">
        <v>100.0000</v>
      </c>
      <c r="I157" s="14">
        <v>0</v>
      </c>
      <c r="J157" s="13" t="s">
        <v>17</v>
      </c>
    </row>
    <row r="158" ht="31.65" customHeight="true" customFormat="true" s="8">
      <c r="A158" s="12">
        <v>43891</v>
      </c>
      <c r="B158" s="13" t="s">
        <v>25</v>
      </c>
      <c r="C158" s="18" t="s">
        <v>161</v>
      </c>
      <c r="D158" s="13" t="s">
        <v>162</v>
      </c>
      <c r="E158" s="13" t="s">
        <v>16</v>
      </c>
      <c r="F158" s="14">
        <v>0</v>
      </c>
      <c r="G158" s="14">
        <v>643.5000</v>
      </c>
      <c r="H158" s="14">
        <v>0</v>
      </c>
      <c r="I158" s="14">
        <v>643.5000</v>
      </c>
      <c r="J158" s="13" t="s">
        <v>22</v>
      </c>
    </row>
    <row r="159" ht="31.65" customHeight="true" customFormat="true" s="8">
      <c r="A159" s="12">
        <v>43891</v>
      </c>
      <c r="B159" s="13" t="s">
        <v>25</v>
      </c>
      <c r="C159" s="18" t="s">
        <v>163</v>
      </c>
      <c r="D159" s="13" t="s">
        <v>162</v>
      </c>
      <c r="E159" s="13" t="s">
        <v>16</v>
      </c>
      <c r="F159" s="14">
        <v>0</v>
      </c>
      <c r="G159" s="14">
        <v>214.5000</v>
      </c>
      <c r="H159" s="14">
        <v>0</v>
      </c>
      <c r="I159" s="14">
        <v>214.5000</v>
      </c>
      <c r="J159" s="13" t="s">
        <v>47</v>
      </c>
    </row>
    <row r="160" ht="42" customHeight="true" customFormat="true" s="8">
      <c r="A160" s="12">
        <v>43943</v>
      </c>
      <c r="B160" s="13" t="s">
        <v>25</v>
      </c>
      <c r="C160" s="18" t="s">
        <v>164</v>
      </c>
      <c r="D160" s="13" t="s">
        <v>165</v>
      </c>
      <c r="E160" s="13" t="s">
        <v>16</v>
      </c>
      <c r="F160" s="14">
        <v>0</v>
      </c>
      <c r="G160" s="14">
        <v>2340.0000</v>
      </c>
      <c r="H160" s="14">
        <v>0</v>
      </c>
      <c r="I160" s="14">
        <v>2340.0000</v>
      </c>
      <c r="J160" s="13" t="s">
        <v>22</v>
      </c>
    </row>
    <row r="161" ht="42" customHeight="true" customFormat="true" s="8">
      <c r="A161" s="12">
        <v>43943</v>
      </c>
      <c r="B161" s="13" t="s">
        <v>25</v>
      </c>
      <c r="C161" s="18" t="s">
        <v>166</v>
      </c>
      <c r="D161" s="13" t="s">
        <v>165</v>
      </c>
      <c r="E161" s="13" t="s">
        <v>16</v>
      </c>
      <c r="F161" s="14">
        <v>0</v>
      </c>
      <c r="G161" s="14">
        <v>2340.0000</v>
      </c>
      <c r="H161" s="14">
        <v>0</v>
      </c>
      <c r="I161" s="14">
        <v>2340.0000</v>
      </c>
      <c r="J161" s="13" t="s">
        <v>47</v>
      </c>
    </row>
    <row r="162" ht="10.95" customHeight="true" customFormat="true" s="8">
      <c r="A162" s="12">
        <v>44088</v>
      </c>
      <c r="B162" s="13" t="s">
        <v>25</v>
      </c>
      <c r="C162" s="13" t="s">
        <v>167</v>
      </c>
      <c r="D162" s="13" t="s">
        <v>168</v>
      </c>
      <c r="E162" s="13" t="s">
        <v>16</v>
      </c>
      <c r="F162" s="14">
        <v>0</v>
      </c>
      <c r="G162" s="14">
        <v>429.0000</v>
      </c>
      <c r="H162" s="14">
        <v>0</v>
      </c>
      <c r="I162" s="14">
        <v>429.0000</v>
      </c>
      <c r="J162" s="13" t="s">
        <v>22</v>
      </c>
    </row>
    <row r="163" ht="10.95" customHeight="true" customFormat="true" s="8">
      <c r="A163" s="12">
        <v>44088</v>
      </c>
      <c r="B163" s="13" t="s">
        <v>25</v>
      </c>
      <c r="C163" s="13" t="s">
        <v>169</v>
      </c>
      <c r="D163" s="13" t="s">
        <v>168</v>
      </c>
      <c r="E163" s="13" t="s">
        <v>16</v>
      </c>
      <c r="F163" s="14">
        <v>0</v>
      </c>
      <c r="G163" s="14">
        <v>1287.0000</v>
      </c>
      <c r="H163" s="14">
        <v>0</v>
      </c>
      <c r="I163" s="14">
        <v>1287.0000</v>
      </c>
      <c r="J163" s="13" t="s">
        <v>47</v>
      </c>
    </row>
    <row r="164" ht="10.95" customHeight="true" customFormat="true" s="8">
      <c r="A164" s="12">
        <v>44088</v>
      </c>
      <c r="B164" s="13" t="s">
        <v>25</v>
      </c>
      <c r="C164" s="13" t="s">
        <v>170</v>
      </c>
      <c r="D164" s="13" t="s">
        <v>168</v>
      </c>
      <c r="E164" s="13" t="s">
        <v>16</v>
      </c>
      <c r="F164" s="14">
        <v>0</v>
      </c>
      <c r="G164" s="14">
        <v>1560.0000</v>
      </c>
      <c r="H164" s="14">
        <v>0</v>
      </c>
      <c r="I164" s="14">
        <v>1560.0000</v>
      </c>
      <c r="J164" s="13" t="s">
        <v>41</v>
      </c>
    </row>
    <row r="165" ht="10.95" customHeight="true" customFormat="true" s="8">
      <c r="A165" s="12">
        <v>44159</v>
      </c>
      <c r="B165" s="13" t="s">
        <v>25</v>
      </c>
      <c r="C165" s="13" t="s">
        <v>171</v>
      </c>
      <c r="D165" s="13" t="s">
        <v>172</v>
      </c>
      <c r="E165" s="13" t="s">
        <v>16</v>
      </c>
      <c r="F165" s="14">
        <v>0</v>
      </c>
      <c r="G165" s="14">
        <v>2106.0000</v>
      </c>
      <c r="H165" s="14">
        <v>0</v>
      </c>
      <c r="I165" s="14">
        <v>2106.0000</v>
      </c>
      <c r="J165" s="13" t="s">
        <v>58</v>
      </c>
    </row>
    <row r="166" ht="10.95" customHeight="true" customFormat="true" s="8">
      <c r="A166" s="12">
        <v>44159</v>
      </c>
      <c r="B166" s="13" t="s">
        <v>25</v>
      </c>
      <c r="C166" s="13" t="s">
        <v>167</v>
      </c>
      <c r="D166" s="13" t="s">
        <v>172</v>
      </c>
      <c r="E166" s="13" t="s">
        <v>16</v>
      </c>
      <c r="F166" s="14">
        <v>0</v>
      </c>
      <c r="G166" s="14">
        <v>1072.5000</v>
      </c>
      <c r="H166" s="14">
        <v>0</v>
      </c>
      <c r="I166" s="14">
        <v>1072.5000</v>
      </c>
      <c r="J166" s="13" t="s">
        <v>22</v>
      </c>
    </row>
    <row r="167" ht="10.95" customHeight="true" customFormat="true" s="8">
      <c r="A167" s="12">
        <v>44159</v>
      </c>
      <c r="B167" s="13" t="s">
        <v>25</v>
      </c>
      <c r="C167" s="13" t="s">
        <v>169</v>
      </c>
      <c r="D167" s="13" t="s">
        <v>172</v>
      </c>
      <c r="E167" s="13" t="s">
        <v>16</v>
      </c>
      <c r="F167" s="14">
        <v>0</v>
      </c>
      <c r="G167" s="14">
        <v>1501.5000</v>
      </c>
      <c r="H167" s="14">
        <v>0</v>
      </c>
      <c r="I167" s="14">
        <v>1501.5000</v>
      </c>
      <c r="J167" s="13" t="s">
        <v>47</v>
      </c>
    </row>
    <row r="168" ht="10.95" customHeight="true" customFormat="true" s="8">
      <c r="A168" s="12">
        <v>44159</v>
      </c>
      <c r="B168" s="13" t="s">
        <v>25</v>
      </c>
      <c r="C168" s="13" t="s">
        <v>170</v>
      </c>
      <c r="D168" s="13" t="s">
        <v>173</v>
      </c>
      <c r="E168" s="13" t="s">
        <v>16</v>
      </c>
      <c r="F168" s="14">
        <v>0</v>
      </c>
      <c r="G168" s="14">
        <v>1560.0000</v>
      </c>
      <c r="H168" s="14">
        <v>0</v>
      </c>
      <c r="I168" s="14">
        <v>1560.0000</v>
      </c>
      <c r="J168" s="13" t="s">
        <v>41</v>
      </c>
    </row>
    <row r="169" ht="10.95" customHeight="true" customFormat="true" s="8">
      <c r="A169" s="12">
        <v>44628</v>
      </c>
      <c r="B169" s="13" t="s">
        <v>25</v>
      </c>
      <c r="C169" s="13" t="s">
        <v>167</v>
      </c>
      <c r="D169" s="13" t="s">
        <v>174</v>
      </c>
      <c r="E169" s="13" t="s">
        <v>16</v>
      </c>
      <c r="F169" s="14">
        <v>0</v>
      </c>
      <c r="G169" s="14">
        <v>643.5000</v>
      </c>
      <c r="H169" s="14">
        <v>0</v>
      </c>
      <c r="I169" s="14">
        <v>643.5000</v>
      </c>
      <c r="J169" s="13" t="s">
        <v>22</v>
      </c>
    </row>
    <row r="170" ht="10.95" customHeight="true" customFormat="true" s="8">
      <c r="A170" s="12">
        <v>44628</v>
      </c>
      <c r="B170" s="13" t="s">
        <v>25</v>
      </c>
      <c r="C170" s="13" t="s">
        <v>171</v>
      </c>
      <c r="D170" s="13" t="s">
        <v>174</v>
      </c>
      <c r="E170" s="13" t="s">
        <v>16</v>
      </c>
      <c r="F170" s="14">
        <v>0</v>
      </c>
      <c r="G170" s="14">
        <v>1404.0000</v>
      </c>
      <c r="H170" s="14">
        <v>0</v>
      </c>
      <c r="I170" s="14">
        <v>1404.0000</v>
      </c>
      <c r="J170" s="13" t="s">
        <v>58</v>
      </c>
    </row>
    <row r="171" ht="10.95" customHeight="true" customFormat="true" s="8">
      <c r="A171" s="12">
        <v>44628</v>
      </c>
      <c r="B171" s="13" t="s">
        <v>25</v>
      </c>
      <c r="C171" s="13" t="s">
        <v>169</v>
      </c>
      <c r="D171" s="13" t="s">
        <v>174</v>
      </c>
      <c r="E171" s="13" t="s">
        <v>16</v>
      </c>
      <c r="F171" s="14">
        <v>0</v>
      </c>
      <c r="G171" s="14">
        <v>1072.5000</v>
      </c>
      <c r="H171" s="14">
        <v>0</v>
      </c>
      <c r="I171" s="14">
        <v>1072.5000</v>
      </c>
      <c r="J171" s="13" t="s">
        <v>47</v>
      </c>
    </row>
    <row r="172" ht="10.95" customHeight="true" customFormat="true" s="8">
      <c r="A172" s="15" t="s">
        <v>175</v>
      </c>
      <c r="B172" s="15"/>
      <c r="C172" s="15"/>
      <c r="D172" s="15"/>
      <c r="E172" s="15"/>
      <c r="F172" s="16">
        <f ca="1">SUM(F154:F171)</f>
        <v>0</v>
      </c>
      <c r="G172" s="16">
        <f ca="1">SUM(G154:G171)</f>
        <v>0</v>
      </c>
      <c r="H172" s="16">
        <f ca="1">SUM(H154:H171)</f>
        <v>0</v>
      </c>
      <c r="I172" s="16">
        <f ca="1">SUM(I154:I171)</f>
        <v>0</v>
      </c>
      <c r="J172" s="15"/>
    </row>
    <row r="173" ht="13.35" customHeight="true"/>
    <row r="174" ht="12.1" customHeight="true" customFormat="true" s="5">
      <c r="A174" s="17" t="s">
        <v>176</v>
      </c>
      <c r="B174" s="17"/>
      <c r="C174" s="17"/>
      <c r="D174" s="17"/>
      <c r="E174" s="17"/>
      <c r="F174" s="17"/>
      <c r="G174" s="17"/>
      <c r="H174" s="17"/>
      <c r="I174" s="17"/>
      <c r="J174" s="17"/>
    </row>
    <row r="175" ht="10.95" customHeight="true" customFormat="true" s="8">
      <c r="A175" s="9">
        <v>42851</v>
      </c>
      <c r="B175" s="10" t="s">
        <v>25</v>
      </c>
      <c r="C175" s="10" t="s">
        <v>177</v>
      </c>
      <c r="D175" s="10" t="s">
        <v>178</v>
      </c>
      <c r="E175" s="10" t="s">
        <v>16</v>
      </c>
      <c r="F175" s="11">
        <v>0</v>
      </c>
      <c r="G175" s="11">
        <v>5304.0000</v>
      </c>
      <c r="H175" s="11">
        <v>0</v>
      </c>
      <c r="I175" s="11">
        <v>5304.0000</v>
      </c>
      <c r="J175" s="10" t="s">
        <v>30</v>
      </c>
    </row>
    <row r="176" ht="10.95" customHeight="true" customFormat="true" s="8">
      <c r="A176" s="12">
        <v>42851</v>
      </c>
      <c r="B176" s="13" t="s">
        <v>25</v>
      </c>
      <c r="C176" s="13" t="s">
        <v>179</v>
      </c>
      <c r="D176" s="13" t="s">
        <v>178</v>
      </c>
      <c r="E176" s="13" t="s">
        <v>16</v>
      </c>
      <c r="F176" s="14">
        <v>24.0000</v>
      </c>
      <c r="G176" s="14">
        <v>0</v>
      </c>
      <c r="H176" s="14">
        <v>24.0000</v>
      </c>
      <c r="I176" s="14">
        <v>0</v>
      </c>
      <c r="J176" s="13" t="s">
        <v>30</v>
      </c>
    </row>
    <row r="177" ht="10.95" customHeight="true" customFormat="true" s="8">
      <c r="A177" s="12">
        <v>43073</v>
      </c>
      <c r="B177" s="13" t="s">
        <v>25</v>
      </c>
      <c r="C177" s="13" t="s">
        <v>180</v>
      </c>
      <c r="D177" s="13" t="s">
        <v>181</v>
      </c>
      <c r="E177" s="13" t="s">
        <v>16</v>
      </c>
      <c r="F177" s="14">
        <v>0</v>
      </c>
      <c r="G177" s="14">
        <v>5280.0000</v>
      </c>
      <c r="H177" s="14">
        <v>0</v>
      </c>
      <c r="I177" s="14">
        <v>5280.0000</v>
      </c>
      <c r="J177" s="13" t="s">
        <v>30</v>
      </c>
    </row>
    <row r="178" ht="10.95" customHeight="true" customFormat="true" s="8">
      <c r="A178" s="12">
        <v>43073</v>
      </c>
      <c r="B178" s="13" t="s">
        <v>25</v>
      </c>
      <c r="C178" s="13" t="s">
        <v>177</v>
      </c>
      <c r="D178" s="13" t="s">
        <v>181</v>
      </c>
      <c r="E178" s="13" t="s">
        <v>16</v>
      </c>
      <c r="F178" s="14">
        <v>0</v>
      </c>
      <c r="G178" s="14">
        <v>780.0000</v>
      </c>
      <c r="H178" s="14">
        <v>0</v>
      </c>
      <c r="I178" s="14">
        <v>780.0000</v>
      </c>
      <c r="J178" s="13" t="s">
        <v>30</v>
      </c>
    </row>
    <row r="179" ht="10.95" customHeight="true" customFormat="true" s="8">
      <c r="A179" s="12">
        <v>43111</v>
      </c>
      <c r="B179" s="13" t="s">
        <v>25</v>
      </c>
      <c r="C179" s="13" t="s">
        <v>182</v>
      </c>
      <c r="D179" s="13" t="s">
        <v>183</v>
      </c>
      <c r="E179" s="13" t="s">
        <v>16</v>
      </c>
      <c r="F179" s="14">
        <v>0</v>
      </c>
      <c r="G179" s="14">
        <v>1040.0000</v>
      </c>
      <c r="H179" s="14">
        <v>0</v>
      </c>
      <c r="I179" s="14">
        <v>1040.0000</v>
      </c>
      <c r="J179" s="13" t="s">
        <v>30</v>
      </c>
    </row>
    <row r="180" ht="10.95" customHeight="true" customFormat="true" s="8">
      <c r="A180" s="12">
        <v>43111</v>
      </c>
      <c r="B180" s="13" t="s">
        <v>25</v>
      </c>
      <c r="C180" s="13" t="s">
        <v>177</v>
      </c>
      <c r="D180" s="13" t="s">
        <v>184</v>
      </c>
      <c r="E180" s="13" t="s">
        <v>16</v>
      </c>
      <c r="F180" s="14">
        <v>0</v>
      </c>
      <c r="G180" s="14">
        <v>260.0000</v>
      </c>
      <c r="H180" s="14">
        <v>0</v>
      </c>
      <c r="I180" s="14">
        <v>260.0000</v>
      </c>
      <c r="J180" s="13" t="s">
        <v>30</v>
      </c>
    </row>
    <row r="181" ht="10.95" customHeight="true" customFormat="true" s="8">
      <c r="A181" s="12">
        <v>43160</v>
      </c>
      <c r="B181" s="13" t="s">
        <v>25</v>
      </c>
      <c r="C181" s="13" t="s">
        <v>177</v>
      </c>
      <c r="D181" s="13" t="s">
        <v>185</v>
      </c>
      <c r="E181" s="13" t="s">
        <v>16</v>
      </c>
      <c r="F181" s="14">
        <v>0</v>
      </c>
      <c r="G181" s="14">
        <v>3519.7800</v>
      </c>
      <c r="H181" s="14">
        <v>0</v>
      </c>
      <c r="I181" s="14">
        <v>3519.7800</v>
      </c>
      <c r="J181" s="13" t="s">
        <v>30</v>
      </c>
    </row>
    <row r="182" ht="10.95" customHeight="true" customFormat="true" s="8">
      <c r="A182" s="12">
        <v>43222</v>
      </c>
      <c r="B182" s="13" t="s">
        <v>25</v>
      </c>
      <c r="C182" s="13" t="s">
        <v>177</v>
      </c>
      <c r="D182" s="13" t="s">
        <v>186</v>
      </c>
      <c r="E182" s="13" t="s">
        <v>16</v>
      </c>
      <c r="F182" s="14">
        <v>0</v>
      </c>
      <c r="G182" s="14">
        <v>2860.0000</v>
      </c>
      <c r="H182" s="14">
        <v>0</v>
      </c>
      <c r="I182" s="14">
        <v>2860.0000</v>
      </c>
      <c r="J182" s="13" t="s">
        <v>30</v>
      </c>
    </row>
    <row r="183" ht="10.95" customHeight="true" customFormat="true" s="8">
      <c r="A183" s="12">
        <v>43222</v>
      </c>
      <c r="B183" s="13" t="s">
        <v>25</v>
      </c>
      <c r="C183" s="13" t="s">
        <v>180</v>
      </c>
      <c r="D183" s="13" t="s">
        <v>187</v>
      </c>
      <c r="E183" s="13" t="s">
        <v>16</v>
      </c>
      <c r="F183" s="14">
        <v>0</v>
      </c>
      <c r="G183" s="14">
        <v>5280.0000</v>
      </c>
      <c r="H183" s="14">
        <v>0</v>
      </c>
      <c r="I183" s="14">
        <v>5280.0000</v>
      </c>
      <c r="J183" s="13" t="s">
        <v>30</v>
      </c>
    </row>
    <row r="184" ht="10.95" customHeight="true" customFormat="true" s="8">
      <c r="A184" s="12">
        <v>43374</v>
      </c>
      <c r="B184" s="13" t="s">
        <v>25</v>
      </c>
      <c r="C184" s="13" t="s">
        <v>177</v>
      </c>
      <c r="D184" s="13" t="s">
        <v>188</v>
      </c>
      <c r="E184" s="13" t="s">
        <v>16</v>
      </c>
      <c r="F184" s="14">
        <v>0</v>
      </c>
      <c r="G184" s="14">
        <v>2080.0000</v>
      </c>
      <c r="H184" s="14">
        <v>0</v>
      </c>
      <c r="I184" s="14">
        <v>2080.0000</v>
      </c>
      <c r="J184" s="13" t="s">
        <v>30</v>
      </c>
    </row>
    <row r="185" ht="10.95" customHeight="true" customFormat="true" s="8">
      <c r="A185" s="12">
        <v>43391</v>
      </c>
      <c r="B185" s="13" t="s">
        <v>25</v>
      </c>
      <c r="C185" s="13" t="s">
        <v>177</v>
      </c>
      <c r="D185" s="13" t="s">
        <v>189</v>
      </c>
      <c r="E185" s="13" t="s">
        <v>16</v>
      </c>
      <c r="F185" s="14">
        <v>0</v>
      </c>
      <c r="G185" s="14">
        <v>780.0000</v>
      </c>
      <c r="H185" s="14">
        <v>0</v>
      </c>
      <c r="I185" s="14">
        <v>780.0000</v>
      </c>
      <c r="J185" s="13" t="s">
        <v>30</v>
      </c>
    </row>
    <row r="186" ht="10.95" customHeight="true" customFormat="true" s="8">
      <c r="A186" s="12">
        <v>43483</v>
      </c>
      <c r="B186" s="13" t="s">
        <v>25</v>
      </c>
      <c r="C186" s="13" t="s">
        <v>177</v>
      </c>
      <c r="D186" s="13" t="s">
        <v>190</v>
      </c>
      <c r="E186" s="13" t="s">
        <v>16</v>
      </c>
      <c r="F186" s="14">
        <v>0</v>
      </c>
      <c r="G186" s="14">
        <v>2340.0000</v>
      </c>
      <c r="H186" s="14">
        <v>0</v>
      </c>
      <c r="I186" s="14">
        <v>2340.0000</v>
      </c>
      <c r="J186" s="13" t="s">
        <v>30</v>
      </c>
    </row>
    <row r="187" ht="10.95" customHeight="true" customFormat="true" s="8">
      <c r="A187" s="12">
        <v>43538</v>
      </c>
      <c r="B187" s="13" t="s">
        <v>25</v>
      </c>
      <c r="C187" s="13" t="s">
        <v>177</v>
      </c>
      <c r="D187" s="13" t="s">
        <v>191</v>
      </c>
      <c r="E187" s="13" t="s">
        <v>16</v>
      </c>
      <c r="F187" s="14">
        <v>0</v>
      </c>
      <c r="G187" s="14">
        <v>2600.0000</v>
      </c>
      <c r="H187" s="14">
        <v>0</v>
      </c>
      <c r="I187" s="14">
        <v>2600.0000</v>
      </c>
      <c r="J187" s="13" t="s">
        <v>30</v>
      </c>
    </row>
    <row r="188" ht="10.95" customHeight="true" customFormat="true" s="8">
      <c r="A188" s="12">
        <v>43759</v>
      </c>
      <c r="B188" s="13" t="s">
        <v>25</v>
      </c>
      <c r="C188" s="13" t="s">
        <v>177</v>
      </c>
      <c r="D188" s="13" t="s">
        <v>192</v>
      </c>
      <c r="E188" s="13" t="s">
        <v>16</v>
      </c>
      <c r="F188" s="14">
        <v>0</v>
      </c>
      <c r="G188" s="14">
        <v>4160.0000</v>
      </c>
      <c r="H188" s="14">
        <v>0</v>
      </c>
      <c r="I188" s="14">
        <v>4160.0000</v>
      </c>
      <c r="J188" s="13" t="s">
        <v>30</v>
      </c>
    </row>
    <row r="189" ht="10.95" customHeight="true" customFormat="true" s="8">
      <c r="A189" s="12">
        <v>43865</v>
      </c>
      <c r="B189" s="13" t="s">
        <v>25</v>
      </c>
      <c r="C189" s="13" t="s">
        <v>177</v>
      </c>
      <c r="D189" s="13" t="s">
        <v>193</v>
      </c>
      <c r="E189" s="13" t="s">
        <v>16</v>
      </c>
      <c r="F189" s="14">
        <v>0</v>
      </c>
      <c r="G189" s="14">
        <v>2340.0000</v>
      </c>
      <c r="H189" s="14">
        <v>0</v>
      </c>
      <c r="I189" s="14">
        <v>2340.0000</v>
      </c>
      <c r="J189" s="13" t="s">
        <v>30</v>
      </c>
    </row>
    <row r="190" ht="10.95" customHeight="true" customFormat="true" s="8">
      <c r="A190" s="12">
        <v>43865</v>
      </c>
      <c r="B190" s="13" t="s">
        <v>25</v>
      </c>
      <c r="C190" s="13" t="s">
        <v>177</v>
      </c>
      <c r="D190" s="13" t="s">
        <v>194</v>
      </c>
      <c r="E190" s="13" t="s">
        <v>16</v>
      </c>
      <c r="F190" s="14">
        <v>0</v>
      </c>
      <c r="G190" s="14">
        <v>1560.0000</v>
      </c>
      <c r="H190" s="14">
        <v>0</v>
      </c>
      <c r="I190" s="14">
        <v>1560.0000</v>
      </c>
      <c r="J190" s="13" t="s">
        <v>30</v>
      </c>
    </row>
    <row r="191" ht="10.95" customHeight="true" customFormat="true" s="8">
      <c r="A191" s="12">
        <v>43865</v>
      </c>
      <c r="B191" s="13" t="s">
        <v>25</v>
      </c>
      <c r="C191" s="13" t="s">
        <v>177</v>
      </c>
      <c r="D191" s="13" t="s">
        <v>195</v>
      </c>
      <c r="E191" s="13" t="s">
        <v>16</v>
      </c>
      <c r="F191" s="14">
        <v>0</v>
      </c>
      <c r="G191" s="14">
        <v>1560.0000</v>
      </c>
      <c r="H191" s="14">
        <v>0</v>
      </c>
      <c r="I191" s="14">
        <v>1560.0000</v>
      </c>
      <c r="J191" s="13" t="s">
        <v>30</v>
      </c>
    </row>
    <row r="192" ht="10.95" customHeight="true" customFormat="true" s="8">
      <c r="A192" s="12">
        <v>43943</v>
      </c>
      <c r="B192" s="13" t="s">
        <v>25</v>
      </c>
      <c r="C192" s="13" t="s">
        <v>177</v>
      </c>
      <c r="D192" s="13" t="s">
        <v>196</v>
      </c>
      <c r="E192" s="13" t="s">
        <v>16</v>
      </c>
      <c r="F192" s="14">
        <v>0</v>
      </c>
      <c r="G192" s="14">
        <v>260.0000</v>
      </c>
      <c r="H192" s="14">
        <v>0</v>
      </c>
      <c r="I192" s="14">
        <v>260.0000</v>
      </c>
      <c r="J192" s="13" t="s">
        <v>30</v>
      </c>
    </row>
    <row r="193" ht="10.95" customHeight="true" customFormat="true" s="8">
      <c r="A193" s="12">
        <v>44034</v>
      </c>
      <c r="B193" s="13" t="s">
        <v>25</v>
      </c>
      <c r="C193" s="13" t="s">
        <v>197</v>
      </c>
      <c r="D193" s="13" t="s">
        <v>198</v>
      </c>
      <c r="E193" s="13" t="s">
        <v>16</v>
      </c>
      <c r="F193" s="14">
        <v>0</v>
      </c>
      <c r="G193" s="14">
        <v>643.5000</v>
      </c>
      <c r="H193" s="14">
        <v>0</v>
      </c>
      <c r="I193" s="14">
        <v>643.5000</v>
      </c>
      <c r="J193" s="13" t="s">
        <v>22</v>
      </c>
    </row>
    <row r="194" ht="10.95" customHeight="true" customFormat="true" s="8">
      <c r="A194" s="12">
        <v>44034</v>
      </c>
      <c r="B194" s="13" t="s">
        <v>25</v>
      </c>
      <c r="C194" s="13" t="s">
        <v>199</v>
      </c>
      <c r="D194" s="13" t="s">
        <v>198</v>
      </c>
      <c r="E194" s="13" t="s">
        <v>16</v>
      </c>
      <c r="F194" s="14">
        <v>0</v>
      </c>
      <c r="G194" s="14">
        <v>643.5000</v>
      </c>
      <c r="H194" s="14">
        <v>0</v>
      </c>
      <c r="I194" s="14">
        <v>643.5000</v>
      </c>
      <c r="J194" s="13" t="s">
        <v>47</v>
      </c>
    </row>
    <row r="195" ht="10.95" customHeight="true" customFormat="true" s="8">
      <c r="A195" s="12">
        <v>44043</v>
      </c>
      <c r="B195" s="13" t="s">
        <v>25</v>
      </c>
      <c r="C195" s="13" t="s">
        <v>199</v>
      </c>
      <c r="D195" s="13" t="s">
        <v>200</v>
      </c>
      <c r="E195" s="13" t="s">
        <v>16</v>
      </c>
      <c r="F195" s="14">
        <v>0</v>
      </c>
      <c r="G195" s="14">
        <v>1716.0000</v>
      </c>
      <c r="H195" s="14">
        <v>0</v>
      </c>
      <c r="I195" s="14">
        <v>1716.0000</v>
      </c>
      <c r="J195" s="13" t="s">
        <v>47</v>
      </c>
    </row>
    <row r="196" ht="10.95" customHeight="true" customFormat="true" s="8">
      <c r="A196" s="12">
        <v>44043</v>
      </c>
      <c r="B196" s="13" t="s">
        <v>25</v>
      </c>
      <c r="C196" s="13" t="s">
        <v>197</v>
      </c>
      <c r="D196" s="13" t="s">
        <v>200</v>
      </c>
      <c r="E196" s="13" t="s">
        <v>16</v>
      </c>
      <c r="F196" s="14">
        <v>0</v>
      </c>
      <c r="G196" s="14">
        <v>1716.0000</v>
      </c>
      <c r="H196" s="14">
        <v>0</v>
      </c>
      <c r="I196" s="14">
        <v>1716.0000</v>
      </c>
      <c r="J196" s="13" t="s">
        <v>22</v>
      </c>
    </row>
    <row r="197" ht="10.95" customHeight="true" customFormat="true" s="8">
      <c r="A197" s="15" t="s">
        <v>201</v>
      </c>
      <c r="B197" s="15"/>
      <c r="C197" s="15"/>
      <c r="D197" s="15"/>
      <c r="E197" s="15"/>
      <c r="F197" s="16">
        <f ca="1">SUM(F175:F196)</f>
        <v>0</v>
      </c>
      <c r="G197" s="16">
        <f ca="1">SUM(G175:G196)</f>
        <v>0</v>
      </c>
      <c r="H197" s="16">
        <f ca="1">SUM(H175:H196)</f>
        <v>0</v>
      </c>
      <c r="I197" s="16">
        <f ca="1">SUM(I175:I196)</f>
        <v>0</v>
      </c>
      <c r="J197" s="15"/>
    </row>
    <row r="198" ht="13.35" customHeight="true"/>
    <row r="199" ht="12.1" customHeight="true" customFormat="true" s="5">
      <c r="A199" s="17" t="s">
        <v>202</v>
      </c>
      <c r="B199" s="17"/>
      <c r="C199" s="17"/>
      <c r="D199" s="17"/>
      <c r="E199" s="17"/>
      <c r="F199" s="17"/>
      <c r="G199" s="17"/>
      <c r="H199" s="17"/>
      <c r="I199" s="17"/>
      <c r="J199" s="17"/>
    </row>
    <row r="200" ht="10.95" customHeight="true" customFormat="true" s="8">
      <c r="A200" s="9">
        <v>42563</v>
      </c>
      <c r="B200" s="10" t="s">
        <v>25</v>
      </c>
      <c r="C200" s="10" t="s">
        <v>203</v>
      </c>
      <c r="D200" s="10" t="s">
        <v>204</v>
      </c>
      <c r="E200" s="10" t="s">
        <v>16</v>
      </c>
      <c r="F200" s="11">
        <v>0</v>
      </c>
      <c r="G200" s="11">
        <v>5200.0000</v>
      </c>
      <c r="H200" s="11">
        <v>0</v>
      </c>
      <c r="I200" s="11">
        <v>5200.0000</v>
      </c>
      <c r="J200" s="10" t="s">
        <v>30</v>
      </c>
    </row>
    <row r="201" ht="10.95" customHeight="true" customFormat="true" s="8">
      <c r="A201" s="12">
        <v>42563</v>
      </c>
      <c r="B201" s="13" t="s">
        <v>25</v>
      </c>
      <c r="C201" s="13" t="s">
        <v>205</v>
      </c>
      <c r="D201" s="13" t="s">
        <v>204</v>
      </c>
      <c r="E201" s="13" t="s">
        <v>16</v>
      </c>
      <c r="F201" s="14">
        <v>1680.0000</v>
      </c>
      <c r="G201" s="14">
        <v>0</v>
      </c>
      <c r="H201" s="14">
        <v>1680.0000</v>
      </c>
      <c r="I201" s="14">
        <v>0</v>
      </c>
      <c r="J201" s="13" t="s">
        <v>30</v>
      </c>
    </row>
    <row r="202" ht="10.95" customHeight="true" customFormat="true" s="8">
      <c r="A202" s="12">
        <v>42755</v>
      </c>
      <c r="B202" s="13" t="s">
        <v>25</v>
      </c>
      <c r="C202" s="13" t="s">
        <v>203</v>
      </c>
      <c r="D202" s="13" t="s">
        <v>206</v>
      </c>
      <c r="E202" s="13" t="s">
        <v>16</v>
      </c>
      <c r="F202" s="14">
        <v>0</v>
      </c>
      <c r="G202" s="14">
        <v>2860.0000</v>
      </c>
      <c r="H202" s="14">
        <v>0</v>
      </c>
      <c r="I202" s="14">
        <v>2860.0000</v>
      </c>
      <c r="J202" s="13" t="s">
        <v>30</v>
      </c>
    </row>
    <row r="203" ht="10.95" customHeight="true" customFormat="true" s="8">
      <c r="A203" s="12">
        <v>42783</v>
      </c>
      <c r="B203" s="13" t="s">
        <v>25</v>
      </c>
      <c r="C203" s="13" t="s">
        <v>203</v>
      </c>
      <c r="D203" s="13" t="s">
        <v>207</v>
      </c>
      <c r="E203" s="13" t="s">
        <v>16</v>
      </c>
      <c r="F203" s="14">
        <v>0</v>
      </c>
      <c r="G203" s="14">
        <v>260.0000</v>
      </c>
      <c r="H203" s="14">
        <v>0</v>
      </c>
      <c r="I203" s="14">
        <v>260.0000</v>
      </c>
      <c r="J203" s="13" t="s">
        <v>30</v>
      </c>
    </row>
    <row r="204" ht="10.95" customHeight="true" customFormat="true" s="8">
      <c r="A204" s="12">
        <v>42928</v>
      </c>
      <c r="B204" s="13" t="s">
        <v>25</v>
      </c>
      <c r="C204" s="13" t="s">
        <v>208</v>
      </c>
      <c r="D204" s="13" t="s">
        <v>209</v>
      </c>
      <c r="E204" s="13" t="s">
        <v>16</v>
      </c>
      <c r="F204" s="14">
        <v>0</v>
      </c>
      <c r="G204" s="14">
        <v>5280.0000</v>
      </c>
      <c r="H204" s="14">
        <v>0</v>
      </c>
      <c r="I204" s="14">
        <v>5280.0000</v>
      </c>
      <c r="J204" s="13" t="s">
        <v>30</v>
      </c>
    </row>
    <row r="205" ht="10.95" customHeight="true" customFormat="true" s="8">
      <c r="A205" s="12">
        <v>43453</v>
      </c>
      <c r="B205" s="13" t="s">
        <v>25</v>
      </c>
      <c r="C205" s="13" t="s">
        <v>208</v>
      </c>
      <c r="D205" s="13" t="s">
        <v>210</v>
      </c>
      <c r="E205" s="13" t="s">
        <v>16</v>
      </c>
      <c r="F205" s="14">
        <v>0</v>
      </c>
      <c r="G205" s="14">
        <v>5280.0000</v>
      </c>
      <c r="H205" s="14">
        <v>0</v>
      </c>
      <c r="I205" s="14">
        <v>5280.0000</v>
      </c>
      <c r="J205" s="13" t="s">
        <v>30</v>
      </c>
    </row>
    <row r="206" ht="10.95" customHeight="true" customFormat="true" s="8">
      <c r="A206" s="12">
        <v>43732</v>
      </c>
      <c r="B206" s="13" t="s">
        <v>25</v>
      </c>
      <c r="C206" s="13" t="s">
        <v>203</v>
      </c>
      <c r="D206" s="13" t="s">
        <v>211</v>
      </c>
      <c r="E206" s="13" t="s">
        <v>16</v>
      </c>
      <c r="F206" s="14">
        <v>0</v>
      </c>
      <c r="G206" s="14">
        <v>2860.0000</v>
      </c>
      <c r="H206" s="14">
        <v>0</v>
      </c>
      <c r="I206" s="14">
        <v>2860.0000</v>
      </c>
      <c r="J206" s="13" t="s">
        <v>30</v>
      </c>
    </row>
    <row r="207" ht="10.95" customHeight="true" customFormat="true" s="8">
      <c r="A207" s="12">
        <v>43866</v>
      </c>
      <c r="B207" s="13" t="s">
        <v>25</v>
      </c>
      <c r="C207" s="13" t="s">
        <v>203</v>
      </c>
      <c r="D207" s="13" t="s">
        <v>212</v>
      </c>
      <c r="E207" s="13" t="s">
        <v>16</v>
      </c>
      <c r="F207" s="14">
        <v>0</v>
      </c>
      <c r="G207" s="14">
        <v>3380.0000</v>
      </c>
      <c r="H207" s="14">
        <v>0</v>
      </c>
      <c r="I207" s="14">
        <v>3380.0000</v>
      </c>
      <c r="J207" s="13" t="s">
        <v>30</v>
      </c>
    </row>
    <row r="208" ht="10.95" customHeight="true" customFormat="true" s="8">
      <c r="A208" s="12">
        <v>43896</v>
      </c>
      <c r="B208" s="13" t="s">
        <v>25</v>
      </c>
      <c r="C208" s="13" t="s">
        <v>203</v>
      </c>
      <c r="D208" s="13" t="s">
        <v>213</v>
      </c>
      <c r="E208" s="13" t="s">
        <v>16</v>
      </c>
      <c r="F208" s="14">
        <v>0</v>
      </c>
      <c r="G208" s="14">
        <v>1040.0000</v>
      </c>
      <c r="H208" s="14">
        <v>0</v>
      </c>
      <c r="I208" s="14">
        <v>1040.0000</v>
      </c>
      <c r="J208" s="13" t="s">
        <v>30</v>
      </c>
    </row>
    <row r="209" ht="10.95" customHeight="true" customFormat="true" s="8">
      <c r="A209" s="12">
        <v>43899</v>
      </c>
      <c r="B209" s="13" t="s">
        <v>25</v>
      </c>
      <c r="C209" s="13" t="s">
        <v>203</v>
      </c>
      <c r="D209" s="13" t="s">
        <v>214</v>
      </c>
      <c r="E209" s="13" t="s">
        <v>16</v>
      </c>
      <c r="F209" s="14">
        <v>0</v>
      </c>
      <c r="G209" s="14">
        <v>234.0000</v>
      </c>
      <c r="H209" s="14">
        <v>0</v>
      </c>
      <c r="I209" s="14">
        <v>234.0000</v>
      </c>
      <c r="J209" s="13" t="s">
        <v>30</v>
      </c>
    </row>
    <row r="210" ht="10.95" customHeight="true" customFormat="true" s="8">
      <c r="A210" s="12">
        <v>44018</v>
      </c>
      <c r="B210" s="13" t="s">
        <v>25</v>
      </c>
      <c r="C210" s="13" t="s">
        <v>215</v>
      </c>
      <c r="D210" s="13" t="s">
        <v>216</v>
      </c>
      <c r="E210" s="13" t="s">
        <v>16</v>
      </c>
      <c r="F210" s="14">
        <v>0</v>
      </c>
      <c r="G210" s="14">
        <v>1501.5000</v>
      </c>
      <c r="H210" s="14">
        <v>0</v>
      </c>
      <c r="I210" s="14">
        <v>1501.5000</v>
      </c>
      <c r="J210" s="13" t="s">
        <v>47</v>
      </c>
    </row>
    <row r="211" ht="10.95" customHeight="true" customFormat="true" s="8">
      <c r="A211" s="12">
        <v>44018</v>
      </c>
      <c r="B211" s="13" t="s">
        <v>25</v>
      </c>
      <c r="C211" s="13" t="s">
        <v>217</v>
      </c>
      <c r="D211" s="13" t="s">
        <v>216</v>
      </c>
      <c r="E211" s="13" t="s">
        <v>16</v>
      </c>
      <c r="F211" s="14">
        <v>0</v>
      </c>
      <c r="G211" s="14">
        <v>1072.5000</v>
      </c>
      <c r="H211" s="14">
        <v>0</v>
      </c>
      <c r="I211" s="14">
        <v>1072.5000</v>
      </c>
      <c r="J211" s="13" t="s">
        <v>22</v>
      </c>
    </row>
    <row r="212" ht="10.95" customHeight="true" customFormat="true" s="8">
      <c r="A212" s="12">
        <v>44043</v>
      </c>
      <c r="B212" s="13" t="s">
        <v>25</v>
      </c>
      <c r="C212" s="13" t="s">
        <v>217</v>
      </c>
      <c r="D212" s="13" t="s">
        <v>218</v>
      </c>
      <c r="E212" s="13" t="s">
        <v>16</v>
      </c>
      <c r="F212" s="14">
        <v>0</v>
      </c>
      <c r="G212" s="14">
        <v>429.0000</v>
      </c>
      <c r="H212" s="14">
        <v>0</v>
      </c>
      <c r="I212" s="14">
        <v>429.0000</v>
      </c>
      <c r="J212" s="13" t="s">
        <v>22</v>
      </c>
    </row>
    <row r="213" ht="10.95" customHeight="true" customFormat="true" s="8">
      <c r="A213" s="12">
        <v>44056</v>
      </c>
      <c r="B213" s="13" t="s">
        <v>25</v>
      </c>
      <c r="C213" s="13" t="s">
        <v>217</v>
      </c>
      <c r="D213" s="13" t="s">
        <v>219</v>
      </c>
      <c r="E213" s="13" t="s">
        <v>16</v>
      </c>
      <c r="F213" s="14">
        <v>0</v>
      </c>
      <c r="G213" s="14">
        <v>643.5000</v>
      </c>
      <c r="H213" s="14">
        <v>0</v>
      </c>
      <c r="I213" s="14">
        <v>643.5000</v>
      </c>
      <c r="J213" s="13" t="s">
        <v>22</v>
      </c>
    </row>
    <row r="214" ht="10.95" customHeight="true" customFormat="true" s="8">
      <c r="A214" s="12">
        <v>44242</v>
      </c>
      <c r="B214" s="13" t="s">
        <v>25</v>
      </c>
      <c r="C214" s="13" t="s">
        <v>217</v>
      </c>
      <c r="D214" s="13" t="s">
        <v>220</v>
      </c>
      <c r="E214" s="13" t="s">
        <v>16</v>
      </c>
      <c r="F214" s="14">
        <v>0</v>
      </c>
      <c r="G214" s="14">
        <v>429.0000</v>
      </c>
      <c r="H214" s="14">
        <v>0</v>
      </c>
      <c r="I214" s="14">
        <v>429.0000</v>
      </c>
      <c r="J214" s="13" t="s">
        <v>22</v>
      </c>
    </row>
    <row r="215" ht="10.95" customHeight="true" customFormat="true" s="8">
      <c r="A215" s="12">
        <v>44245</v>
      </c>
      <c r="B215" s="13" t="s">
        <v>25</v>
      </c>
      <c r="C215" s="13" t="s">
        <v>221</v>
      </c>
      <c r="D215" s="13" t="s">
        <v>222</v>
      </c>
      <c r="E215" s="13" t="s">
        <v>16</v>
      </c>
      <c r="F215" s="14">
        <v>0</v>
      </c>
      <c r="G215" s="14">
        <v>1950.0000</v>
      </c>
      <c r="H215" s="14">
        <v>0</v>
      </c>
      <c r="I215" s="14">
        <v>1950.0000</v>
      </c>
      <c r="J215" s="13" t="s">
        <v>47</v>
      </c>
    </row>
    <row r="216" ht="10.95" customHeight="true" customFormat="true" s="8">
      <c r="A216" s="12">
        <v>44245</v>
      </c>
      <c r="B216" s="13" t="s">
        <v>25</v>
      </c>
      <c r="C216" s="13" t="s">
        <v>223</v>
      </c>
      <c r="D216" s="13" t="s">
        <v>222</v>
      </c>
      <c r="E216" s="13" t="s">
        <v>16</v>
      </c>
      <c r="F216" s="14">
        <v>0</v>
      </c>
      <c r="G216" s="14">
        <v>1950.0000</v>
      </c>
      <c r="H216" s="14">
        <v>0</v>
      </c>
      <c r="I216" s="14">
        <v>1950.0000</v>
      </c>
      <c r="J216" s="13" t="s">
        <v>22</v>
      </c>
    </row>
    <row r="217" ht="10.95" customHeight="true" customFormat="true" s="8">
      <c r="A217" s="12">
        <v>44510</v>
      </c>
      <c r="B217" s="13" t="s">
        <v>25</v>
      </c>
      <c r="C217" s="13" t="s">
        <v>215</v>
      </c>
      <c r="D217" s="13" t="s">
        <v>224</v>
      </c>
      <c r="E217" s="13" t="s">
        <v>16</v>
      </c>
      <c r="F217" s="14">
        <v>0</v>
      </c>
      <c r="G217" s="14">
        <v>429.0000</v>
      </c>
      <c r="H217" s="14">
        <v>0</v>
      </c>
      <c r="I217" s="14">
        <v>429.0000</v>
      </c>
      <c r="J217" s="13" t="s">
        <v>47</v>
      </c>
    </row>
    <row r="218" ht="10.95" customHeight="true" customFormat="true" s="8">
      <c r="A218" s="12">
        <v>44672</v>
      </c>
      <c r="B218" s="13" t="s">
        <v>25</v>
      </c>
      <c r="C218" s="13" t="s">
        <v>215</v>
      </c>
      <c r="D218" s="13" t="s">
        <v>225</v>
      </c>
      <c r="E218" s="13" t="s">
        <v>16</v>
      </c>
      <c r="F218" s="14">
        <v>0</v>
      </c>
      <c r="G218" s="14">
        <v>858.0000</v>
      </c>
      <c r="H218" s="14">
        <v>0</v>
      </c>
      <c r="I218" s="14">
        <v>858.0000</v>
      </c>
      <c r="J218" s="13" t="s">
        <v>47</v>
      </c>
    </row>
    <row r="219" ht="10.95" customHeight="true" customFormat="true" s="8">
      <c r="A219" s="12">
        <v>44687</v>
      </c>
      <c r="B219" s="13" t="s">
        <v>25</v>
      </c>
      <c r="C219" s="13" t="s">
        <v>215</v>
      </c>
      <c r="D219" s="13" t="s">
        <v>226</v>
      </c>
      <c r="E219" s="13" t="s">
        <v>16</v>
      </c>
      <c r="F219" s="14">
        <v>0</v>
      </c>
      <c r="G219" s="14">
        <v>1716.0000</v>
      </c>
      <c r="H219" s="14">
        <v>0</v>
      </c>
      <c r="I219" s="14">
        <v>1716.0000</v>
      </c>
      <c r="J219" s="13" t="s">
        <v>47</v>
      </c>
    </row>
    <row r="220" ht="10.95" customHeight="true" customFormat="true" s="8">
      <c r="A220" s="12">
        <v>44844</v>
      </c>
      <c r="B220" s="13" t="s">
        <v>25</v>
      </c>
      <c r="C220" s="13" t="s">
        <v>215</v>
      </c>
      <c r="D220" s="13" t="s">
        <v>227</v>
      </c>
      <c r="E220" s="13" t="s">
        <v>16</v>
      </c>
      <c r="F220" s="14">
        <v>0</v>
      </c>
      <c r="G220" s="14">
        <v>214.5000</v>
      </c>
      <c r="H220" s="14">
        <v>0</v>
      </c>
      <c r="I220" s="14">
        <v>214.5000</v>
      </c>
      <c r="J220" s="13" t="s">
        <v>47</v>
      </c>
    </row>
    <row r="221" ht="10.95" customHeight="true" customFormat="true" s="8">
      <c r="A221" s="12">
        <v>44844</v>
      </c>
      <c r="B221" s="13" t="s">
        <v>25</v>
      </c>
      <c r="C221" s="13" t="s">
        <v>215</v>
      </c>
      <c r="D221" s="13" t="s">
        <v>228</v>
      </c>
      <c r="E221" s="13" t="s">
        <v>16</v>
      </c>
      <c r="F221" s="14">
        <v>0</v>
      </c>
      <c r="G221" s="14">
        <v>1501.5000</v>
      </c>
      <c r="H221" s="14">
        <v>0</v>
      </c>
      <c r="I221" s="14">
        <v>1501.5000</v>
      </c>
      <c r="J221" s="13" t="s">
        <v>47</v>
      </c>
    </row>
    <row r="222" ht="10.95" customHeight="true" customFormat="true" s="8">
      <c r="A222" s="12">
        <v>44844</v>
      </c>
      <c r="B222" s="13" t="s">
        <v>25</v>
      </c>
      <c r="C222" s="13" t="s">
        <v>217</v>
      </c>
      <c r="D222" s="13" t="s">
        <v>228</v>
      </c>
      <c r="E222" s="13" t="s">
        <v>16</v>
      </c>
      <c r="F222" s="14">
        <v>0</v>
      </c>
      <c r="G222" s="14">
        <v>1501.5000</v>
      </c>
      <c r="H222" s="14">
        <v>0</v>
      </c>
      <c r="I222" s="14">
        <v>1501.5000</v>
      </c>
      <c r="J222" s="13" t="s">
        <v>22</v>
      </c>
    </row>
    <row r="223" ht="10.95" customHeight="true" customFormat="true" s="8">
      <c r="A223" s="12">
        <v>44882</v>
      </c>
      <c r="B223" s="13" t="s">
        <v>25</v>
      </c>
      <c r="C223" s="13" t="s">
        <v>217</v>
      </c>
      <c r="D223" s="13" t="s">
        <v>229</v>
      </c>
      <c r="E223" s="13" t="s">
        <v>16</v>
      </c>
      <c r="F223" s="14">
        <v>0</v>
      </c>
      <c r="G223" s="14">
        <v>643.5000</v>
      </c>
      <c r="H223" s="14">
        <v>0</v>
      </c>
      <c r="I223" s="14">
        <v>643.5000</v>
      </c>
      <c r="J223" s="13" t="s">
        <v>22</v>
      </c>
    </row>
    <row r="224" ht="10.95" customHeight="true" customFormat="true" s="8">
      <c r="A224" s="12">
        <v>44882</v>
      </c>
      <c r="B224" s="13" t="s">
        <v>25</v>
      </c>
      <c r="C224" s="13" t="s">
        <v>215</v>
      </c>
      <c r="D224" s="13" t="s">
        <v>229</v>
      </c>
      <c r="E224" s="13" t="s">
        <v>16</v>
      </c>
      <c r="F224" s="14">
        <v>0</v>
      </c>
      <c r="G224" s="14">
        <v>643.5000</v>
      </c>
      <c r="H224" s="14">
        <v>0</v>
      </c>
      <c r="I224" s="14">
        <v>643.5000</v>
      </c>
      <c r="J224" s="13" t="s">
        <v>47</v>
      </c>
    </row>
    <row r="225" ht="10.95" customHeight="true" customFormat="true" s="8">
      <c r="A225" s="12">
        <v>45098</v>
      </c>
      <c r="B225" s="13" t="s">
        <v>25</v>
      </c>
      <c r="C225" s="13" t="s">
        <v>217</v>
      </c>
      <c r="D225" s="13" t="s">
        <v>230</v>
      </c>
      <c r="E225" s="13" t="s">
        <v>16</v>
      </c>
      <c r="F225" s="14">
        <v>0</v>
      </c>
      <c r="G225" s="14">
        <v>1072.5000</v>
      </c>
      <c r="H225" s="14">
        <v>0</v>
      </c>
      <c r="I225" s="14">
        <v>1072.5000</v>
      </c>
      <c r="J225" s="13" t="s">
        <v>22</v>
      </c>
    </row>
    <row r="226" ht="10.95" customHeight="true" customFormat="true" s="8">
      <c r="A226" s="12">
        <v>45098</v>
      </c>
      <c r="B226" s="13" t="s">
        <v>25</v>
      </c>
      <c r="C226" s="13" t="s">
        <v>217</v>
      </c>
      <c r="D226" s="13" t="s">
        <v>231</v>
      </c>
      <c r="E226" s="13" t="s">
        <v>16</v>
      </c>
      <c r="F226" s="14">
        <v>0</v>
      </c>
      <c r="G226" s="14">
        <v>702.0000</v>
      </c>
      <c r="H226" s="14">
        <v>0</v>
      </c>
      <c r="I226" s="14">
        <v>702.0000</v>
      </c>
      <c r="J226" s="13" t="s">
        <v>22</v>
      </c>
    </row>
    <row r="227" ht="10.95" customHeight="true" customFormat="true" s="8">
      <c r="A227" s="12">
        <v>45098</v>
      </c>
      <c r="B227" s="13" t="s">
        <v>25</v>
      </c>
      <c r="C227" s="13" t="s">
        <v>215</v>
      </c>
      <c r="D227" s="13" t="s">
        <v>230</v>
      </c>
      <c r="E227" s="13" t="s">
        <v>16</v>
      </c>
      <c r="F227" s="14">
        <v>0</v>
      </c>
      <c r="G227" s="14">
        <v>1287.0000</v>
      </c>
      <c r="H227" s="14">
        <v>0</v>
      </c>
      <c r="I227" s="14">
        <v>1287.0000</v>
      </c>
      <c r="J227" s="13" t="s">
        <v>47</v>
      </c>
    </row>
    <row r="228" ht="10.95" customHeight="true" customFormat="true" s="8">
      <c r="A228" s="12">
        <v>45098</v>
      </c>
      <c r="B228" s="13" t="s">
        <v>25</v>
      </c>
      <c r="C228" s="13" t="s">
        <v>215</v>
      </c>
      <c r="D228" s="13" t="s">
        <v>231</v>
      </c>
      <c r="E228" s="13" t="s">
        <v>16</v>
      </c>
      <c r="F228" s="14">
        <v>0</v>
      </c>
      <c r="G228" s="14">
        <v>702.0000</v>
      </c>
      <c r="H228" s="14">
        <v>0</v>
      </c>
      <c r="I228" s="14">
        <v>702.0000</v>
      </c>
      <c r="J228" s="13" t="s">
        <v>47</v>
      </c>
    </row>
    <row r="229" ht="10.95" customHeight="true" customFormat="true" s="8">
      <c r="A229" s="12">
        <v>45271</v>
      </c>
      <c r="B229" s="13" t="s">
        <v>25</v>
      </c>
      <c r="C229" s="13" t="s">
        <v>217</v>
      </c>
      <c r="D229" s="13" t="s">
        <v>232</v>
      </c>
      <c r="E229" s="13" t="s">
        <v>16</v>
      </c>
      <c r="F229" s="14">
        <v>0</v>
      </c>
      <c r="G229" s="14">
        <v>702.0000</v>
      </c>
      <c r="H229" s="14">
        <v>0</v>
      </c>
      <c r="I229" s="14">
        <v>702.0000</v>
      </c>
      <c r="J229" s="13" t="s">
        <v>22</v>
      </c>
    </row>
    <row r="230" ht="10.95" customHeight="true" customFormat="true" s="8">
      <c r="A230" s="12">
        <v>45271</v>
      </c>
      <c r="B230" s="13" t="s">
        <v>25</v>
      </c>
      <c r="C230" s="13" t="s">
        <v>215</v>
      </c>
      <c r="D230" s="13" t="s">
        <v>232</v>
      </c>
      <c r="E230" s="13" t="s">
        <v>16</v>
      </c>
      <c r="F230" s="14">
        <v>0</v>
      </c>
      <c r="G230" s="14">
        <v>702.0000</v>
      </c>
      <c r="H230" s="14">
        <v>0</v>
      </c>
      <c r="I230" s="14">
        <v>702.0000</v>
      </c>
      <c r="J230" s="13" t="s">
        <v>47</v>
      </c>
    </row>
    <row r="231" ht="10.95" customHeight="true" customFormat="true" s="8">
      <c r="A231" s="12">
        <v>45313</v>
      </c>
      <c r="B231" s="13" t="s">
        <v>25</v>
      </c>
      <c r="C231" s="13" t="s">
        <v>217</v>
      </c>
      <c r="D231" s="13" t="s">
        <v>233</v>
      </c>
      <c r="E231" s="13" t="s">
        <v>16</v>
      </c>
      <c r="F231" s="14">
        <v>0</v>
      </c>
      <c r="G231" s="14">
        <v>1638.0000</v>
      </c>
      <c r="H231" s="14">
        <v>0</v>
      </c>
      <c r="I231" s="14">
        <v>1638.0000</v>
      </c>
      <c r="J231" s="13" t="s">
        <v>22</v>
      </c>
    </row>
    <row r="232" ht="10.95" customHeight="true" customFormat="true" s="8">
      <c r="A232" s="12">
        <v>45341</v>
      </c>
      <c r="B232" s="13" t="s">
        <v>25</v>
      </c>
      <c r="C232" s="13" t="s">
        <v>217</v>
      </c>
      <c r="D232" s="13" t="s">
        <v>234</v>
      </c>
      <c r="E232" s="13" t="s">
        <v>16</v>
      </c>
      <c r="F232" s="14">
        <v>0</v>
      </c>
      <c r="G232" s="14">
        <v>1872.0000</v>
      </c>
      <c r="H232" s="14">
        <v>0</v>
      </c>
      <c r="I232" s="14">
        <v>1872.0000</v>
      </c>
      <c r="J232" s="13" t="s">
        <v>22</v>
      </c>
    </row>
    <row r="233" ht="10.95" customHeight="true" customFormat="true" s="8">
      <c r="A233" s="12">
        <v>45450</v>
      </c>
      <c r="B233" s="13" t="s">
        <v>25</v>
      </c>
      <c r="C233" s="13" t="s">
        <v>215</v>
      </c>
      <c r="D233" s="13" t="s">
        <v>235</v>
      </c>
      <c r="E233" s="13" t="s">
        <v>16</v>
      </c>
      <c r="F233" s="14">
        <v>0</v>
      </c>
      <c r="G233" s="14">
        <v>1404.0000</v>
      </c>
      <c r="H233" s="14">
        <v>0</v>
      </c>
      <c r="I233" s="14">
        <v>1404.0000</v>
      </c>
      <c r="J233" s="13" t="s">
        <v>47</v>
      </c>
    </row>
    <row r="234" ht="10.95" customHeight="true" customFormat="true" s="8">
      <c r="A234" s="12">
        <v>45450</v>
      </c>
      <c r="B234" s="13" t="s">
        <v>25</v>
      </c>
      <c r="C234" s="13" t="s">
        <v>217</v>
      </c>
      <c r="D234" s="13" t="s">
        <v>235</v>
      </c>
      <c r="E234" s="13" t="s">
        <v>16</v>
      </c>
      <c r="F234" s="14">
        <v>0</v>
      </c>
      <c r="G234" s="14">
        <v>1404.0000</v>
      </c>
      <c r="H234" s="14">
        <v>0</v>
      </c>
      <c r="I234" s="14">
        <v>1404.0000</v>
      </c>
      <c r="J234" s="13" t="s">
        <v>22</v>
      </c>
    </row>
    <row r="235" ht="10.95" customHeight="true" customFormat="true" s="8">
      <c r="A235" s="12">
        <v>45721</v>
      </c>
      <c r="B235" s="13" t="s">
        <v>25</v>
      </c>
      <c r="C235" s="13" t="s">
        <v>217</v>
      </c>
      <c r="D235" s="13" t="s">
        <v>236</v>
      </c>
      <c r="E235" s="13" t="s">
        <v>16</v>
      </c>
      <c r="F235" s="14">
        <v>0</v>
      </c>
      <c r="G235" s="14">
        <v>702.0000</v>
      </c>
      <c r="H235" s="14">
        <v>0</v>
      </c>
      <c r="I235" s="14">
        <v>702.0000</v>
      </c>
      <c r="J235" s="13" t="s">
        <v>22</v>
      </c>
    </row>
    <row r="236" ht="10.95" customHeight="true" customFormat="true" s="8">
      <c r="A236" s="12">
        <v>45721</v>
      </c>
      <c r="B236" s="13" t="s">
        <v>25</v>
      </c>
      <c r="C236" s="13" t="s">
        <v>215</v>
      </c>
      <c r="D236" s="13" t="s">
        <v>236</v>
      </c>
      <c r="E236" s="13" t="s">
        <v>16</v>
      </c>
      <c r="F236" s="14">
        <v>0</v>
      </c>
      <c r="G236" s="14">
        <v>702.0000</v>
      </c>
      <c r="H236" s="14">
        <v>0</v>
      </c>
      <c r="I236" s="14">
        <v>702.0000</v>
      </c>
      <c r="J236" s="13" t="s">
        <v>47</v>
      </c>
    </row>
    <row r="237" ht="10.95" customHeight="true" customFormat="true" s="8">
      <c r="A237" s="15" t="s">
        <v>237</v>
      </c>
      <c r="B237" s="15"/>
      <c r="C237" s="15"/>
      <c r="D237" s="15"/>
      <c r="E237" s="15"/>
      <c r="F237" s="16">
        <f ca="1">SUM(F200:F236)</f>
        <v>0</v>
      </c>
      <c r="G237" s="16">
        <f ca="1">SUM(G200:G236)</f>
        <v>0</v>
      </c>
      <c r="H237" s="16">
        <f ca="1">SUM(H200:H236)</f>
        <v>0</v>
      </c>
      <c r="I237" s="16">
        <f ca="1">SUM(I200:I236)</f>
        <v>0</v>
      </c>
      <c r="J237" s="15"/>
    </row>
    <row r="238" ht="13.35" customHeight="true"/>
    <row r="239" ht="12.1" customHeight="true" customFormat="true" s="5">
      <c r="A239" s="17" t="s">
        <v>238</v>
      </c>
      <c r="B239" s="17"/>
      <c r="C239" s="17"/>
      <c r="D239" s="17"/>
      <c r="E239" s="17"/>
      <c r="F239" s="17"/>
      <c r="G239" s="17"/>
      <c r="H239" s="17"/>
      <c r="I239" s="17"/>
      <c r="J239" s="17"/>
    </row>
    <row r="240" ht="10.95" customHeight="true" customFormat="true" s="8">
      <c r="A240" s="9">
        <v>45294</v>
      </c>
      <c r="B240" s="10" t="s">
        <v>25</v>
      </c>
      <c r="C240" s="10" t="s">
        <v>239</v>
      </c>
      <c r="D240" s="10" t="s">
        <v>240</v>
      </c>
      <c r="E240" s="10" t="s">
        <v>16</v>
      </c>
      <c r="F240" s="11">
        <v>0</v>
      </c>
      <c r="G240" s="11">
        <v>5000.0000</v>
      </c>
      <c r="H240" s="11">
        <v>0</v>
      </c>
      <c r="I240" s="11">
        <v>5000.0000</v>
      </c>
      <c r="J240" s="10" t="s">
        <v>41</v>
      </c>
    </row>
    <row r="241" ht="10.95" customHeight="true" customFormat="true" s="8">
      <c r="A241" s="15" t="s">
        <v>241</v>
      </c>
      <c r="B241" s="15"/>
      <c r="C241" s="15"/>
      <c r="D241" s="15"/>
      <c r="E241" s="15"/>
      <c r="F241" s="16">
        <f ca="1">F240</f>
        <v>0</v>
      </c>
      <c r="G241" s="16">
        <f ca="1">G240</f>
        <v>0</v>
      </c>
      <c r="H241" s="16">
        <f ca="1">H240</f>
        <v>0</v>
      </c>
      <c r="I241" s="16">
        <f ca="1">I240</f>
        <v>0</v>
      </c>
      <c r="J241" s="15"/>
    </row>
    <row r="242" ht="13.35" customHeight="true"/>
    <row r="243" ht="12.1" customHeight="true" customFormat="true" s="5">
      <c r="A243" s="17" t="s">
        <v>242</v>
      </c>
      <c r="B243" s="17"/>
      <c r="C243" s="17"/>
      <c r="D243" s="17"/>
      <c r="E243" s="17"/>
      <c r="F243" s="17"/>
      <c r="G243" s="17"/>
      <c r="H243" s="17"/>
      <c r="I243" s="17"/>
      <c r="J243" s="17"/>
    </row>
    <row r="244" ht="10.95" customHeight="true" customFormat="true" s="8">
      <c r="A244" s="9">
        <v>45198</v>
      </c>
      <c r="B244" s="10" t="s">
        <v>25</v>
      </c>
      <c r="C244" s="10" t="s">
        <v>243</v>
      </c>
      <c r="D244" s="10" t="s">
        <v>244</v>
      </c>
      <c r="E244" s="10" t="s">
        <v>16</v>
      </c>
      <c r="F244" s="11">
        <v>0</v>
      </c>
      <c r="G244" s="11">
        <v>468.0000</v>
      </c>
      <c r="H244" s="11">
        <v>0</v>
      </c>
      <c r="I244" s="11">
        <v>468.0000</v>
      </c>
      <c r="J244" s="10" t="s">
        <v>47</v>
      </c>
    </row>
    <row r="245" ht="10.95" customHeight="true" customFormat="true" s="8">
      <c r="A245" s="12">
        <v>45198</v>
      </c>
      <c r="B245" s="13" t="s">
        <v>25</v>
      </c>
      <c r="C245" s="13" t="s">
        <v>245</v>
      </c>
      <c r="D245" s="13" t="s">
        <v>244</v>
      </c>
      <c r="E245" s="13" t="s">
        <v>16</v>
      </c>
      <c r="F245" s="14">
        <v>0</v>
      </c>
      <c r="G245" s="14">
        <v>702.0000</v>
      </c>
      <c r="H245" s="14">
        <v>0</v>
      </c>
      <c r="I245" s="14">
        <v>702.0000</v>
      </c>
      <c r="J245" s="13" t="s">
        <v>22</v>
      </c>
    </row>
    <row r="246" ht="10.95" customHeight="true" customFormat="true" s="8">
      <c r="A246" s="15" t="s">
        <v>246</v>
      </c>
      <c r="B246" s="15"/>
      <c r="C246" s="15"/>
      <c r="D246" s="15"/>
      <c r="E246" s="15"/>
      <c r="F246" s="16">
        <f ca="1">SUM(F244:F245)</f>
        <v>0</v>
      </c>
      <c r="G246" s="16">
        <f ca="1">SUM(G244:G245)</f>
        <v>0</v>
      </c>
      <c r="H246" s="16">
        <f ca="1">SUM(H244:H245)</f>
        <v>0</v>
      </c>
      <c r="I246" s="16">
        <f ca="1">SUM(I244:I245)</f>
        <v>0</v>
      </c>
      <c r="J246" s="15"/>
    </row>
    <row r="247" ht="13.35" customHeight="true"/>
    <row r="248" ht="12.1" customHeight="true" customFormat="true" s="5">
      <c r="A248" s="17" t="s">
        <v>247</v>
      </c>
      <c r="B248" s="17"/>
      <c r="C248" s="17"/>
      <c r="D248" s="17"/>
      <c r="E248" s="17"/>
      <c r="F248" s="17"/>
      <c r="G248" s="17"/>
      <c r="H248" s="17"/>
      <c r="I248" s="17"/>
      <c r="J248" s="17"/>
    </row>
    <row r="249" ht="10.95" customHeight="true" customFormat="true" s="8">
      <c r="A249" s="9">
        <v>45597</v>
      </c>
      <c r="B249" s="10" t="s">
        <v>25</v>
      </c>
      <c r="C249" s="10" t="s">
        <v>248</v>
      </c>
      <c r="D249" s="10" t="s">
        <v>249</v>
      </c>
      <c r="E249" s="10" t="s">
        <v>16</v>
      </c>
      <c r="F249" s="11">
        <v>0</v>
      </c>
      <c r="G249" s="11">
        <v>7200.0000</v>
      </c>
      <c r="H249" s="11">
        <v>0</v>
      </c>
      <c r="I249" s="11">
        <v>7200.0000</v>
      </c>
      <c r="J249" s="10" t="s">
        <v>41</v>
      </c>
    </row>
    <row r="250" ht="10.95" customHeight="true" customFormat="true" s="8">
      <c r="A250" s="12">
        <v>45597</v>
      </c>
      <c r="B250" s="13" t="s">
        <v>25</v>
      </c>
      <c r="C250" s="13" t="s">
        <v>250</v>
      </c>
      <c r="D250" s="13" t="s">
        <v>249</v>
      </c>
      <c r="E250" s="13" t="s">
        <v>16</v>
      </c>
      <c r="F250" s="14">
        <v>0</v>
      </c>
      <c r="G250" s="14">
        <v>2800.0000</v>
      </c>
      <c r="H250" s="14">
        <v>0</v>
      </c>
      <c r="I250" s="14">
        <v>2800.0000</v>
      </c>
      <c r="J250" s="13" t="s">
        <v>41</v>
      </c>
    </row>
    <row r="251" ht="10.95" customHeight="true" customFormat="true" s="8">
      <c r="A251" s="12">
        <v>45597</v>
      </c>
      <c r="B251" s="13" t="s">
        <v>25</v>
      </c>
      <c r="C251" s="13" t="s">
        <v>251</v>
      </c>
      <c r="D251" s="13" t="s">
        <v>249</v>
      </c>
      <c r="E251" s="13" t="s">
        <v>16</v>
      </c>
      <c r="F251" s="14">
        <v>0</v>
      </c>
      <c r="G251" s="14">
        <v>666.8600</v>
      </c>
      <c r="H251" s="14">
        <v>0</v>
      </c>
      <c r="I251" s="14">
        <v>666.8600</v>
      </c>
      <c r="J251" s="13" t="s">
        <v>41</v>
      </c>
    </row>
    <row r="252" ht="10.95" customHeight="true" customFormat="true" s="8">
      <c r="A252" s="15" t="s">
        <v>252</v>
      </c>
      <c r="B252" s="15"/>
      <c r="C252" s="15"/>
      <c r="D252" s="15"/>
      <c r="E252" s="15"/>
      <c r="F252" s="16">
        <f ca="1">SUM(F249:F251)</f>
        <v>0</v>
      </c>
      <c r="G252" s="16">
        <f ca="1">SUM(G249:G251)</f>
        <v>0</v>
      </c>
      <c r="H252" s="16">
        <f ca="1">SUM(H249:H251)</f>
        <v>0</v>
      </c>
      <c r="I252" s="16">
        <f ca="1">SUM(I249:I251)</f>
        <v>0</v>
      </c>
      <c r="J252" s="15"/>
    </row>
    <row r="253" ht="13.35" customHeight="true"/>
    <row r="254" ht="12.1" customHeight="true" customFormat="true" s="5">
      <c r="A254" s="17" t="s">
        <v>253</v>
      </c>
      <c r="B254" s="17"/>
      <c r="C254" s="17"/>
      <c r="D254" s="17"/>
      <c r="E254" s="17"/>
      <c r="F254" s="17"/>
      <c r="G254" s="17"/>
      <c r="H254" s="17"/>
      <c r="I254" s="17"/>
      <c r="J254" s="17"/>
    </row>
    <row r="255" ht="10.95" customHeight="true" customFormat="true" s="8">
      <c r="A255" s="9">
        <v>44277</v>
      </c>
      <c r="B255" s="10" t="s">
        <v>25</v>
      </c>
      <c r="C255" s="10" t="s">
        <v>254</v>
      </c>
      <c r="D255" s="10" t="s">
        <v>255</v>
      </c>
      <c r="E255" s="10" t="s">
        <v>16</v>
      </c>
      <c r="F255" s="11">
        <v>0</v>
      </c>
      <c r="G255" s="11">
        <v>660.0000</v>
      </c>
      <c r="H255" s="11">
        <v>0</v>
      </c>
      <c r="I255" s="11">
        <v>660.0000</v>
      </c>
      <c r="J255" s="10" t="s">
        <v>47</v>
      </c>
    </row>
    <row r="256" ht="10.95" customHeight="true" customFormat="true" s="8">
      <c r="A256" s="12">
        <v>44277</v>
      </c>
      <c r="B256" s="13" t="s">
        <v>25</v>
      </c>
      <c r="C256" s="13" t="s">
        <v>256</v>
      </c>
      <c r="D256" s="13" t="s">
        <v>255</v>
      </c>
      <c r="E256" s="13" t="s">
        <v>16</v>
      </c>
      <c r="F256" s="14">
        <v>0</v>
      </c>
      <c r="G256" s="14">
        <v>2160.0000</v>
      </c>
      <c r="H256" s="14">
        <v>0</v>
      </c>
      <c r="I256" s="14">
        <v>2160.0000</v>
      </c>
      <c r="J256" s="13" t="s">
        <v>58</v>
      </c>
    </row>
    <row r="257" ht="10.95" customHeight="true" customFormat="true" s="8">
      <c r="A257" s="12">
        <v>44277</v>
      </c>
      <c r="B257" s="13" t="s">
        <v>25</v>
      </c>
      <c r="C257" s="13" t="s">
        <v>257</v>
      </c>
      <c r="D257" s="13" t="s">
        <v>255</v>
      </c>
      <c r="E257" s="13" t="s">
        <v>16</v>
      </c>
      <c r="F257" s="14">
        <v>0</v>
      </c>
      <c r="G257" s="14">
        <v>990.0000</v>
      </c>
      <c r="H257" s="14">
        <v>0</v>
      </c>
      <c r="I257" s="14">
        <v>990.0000</v>
      </c>
      <c r="J257" s="13" t="s">
        <v>22</v>
      </c>
    </row>
    <row r="258" ht="10.95" customHeight="true" customFormat="true" s="8">
      <c r="A258" s="15" t="s">
        <v>258</v>
      </c>
      <c r="B258" s="15"/>
      <c r="C258" s="15"/>
      <c r="D258" s="15"/>
      <c r="E258" s="15"/>
      <c r="F258" s="16">
        <f ca="1">SUM(F255:F257)</f>
        <v>0</v>
      </c>
      <c r="G258" s="16">
        <f ca="1">SUM(G255:G257)</f>
        <v>0</v>
      </c>
      <c r="H258" s="16">
        <f ca="1">SUM(H255:H257)</f>
        <v>0</v>
      </c>
      <c r="I258" s="16">
        <f ca="1">SUM(I255:I257)</f>
        <v>0</v>
      </c>
      <c r="J258" s="15"/>
    </row>
    <row r="259" ht="13.35" customHeight="true"/>
    <row r="260" ht="12.1" customHeight="true" customFormat="true" s="5">
      <c r="A260" s="17" t="s">
        <v>259</v>
      </c>
      <c r="B260" s="17"/>
      <c r="C260" s="17"/>
      <c r="D260" s="17"/>
      <c r="E260" s="17"/>
      <c r="F260" s="17"/>
      <c r="G260" s="17"/>
      <c r="H260" s="17"/>
      <c r="I260" s="17"/>
      <c r="J260" s="17"/>
    </row>
    <row r="261" ht="10.95" customHeight="true" customFormat="true" s="8">
      <c r="A261" s="9">
        <v>45366</v>
      </c>
      <c r="B261" s="10" t="s">
        <v>25</v>
      </c>
      <c r="C261" s="10" t="s">
        <v>260</v>
      </c>
      <c r="D261" s="10" t="s">
        <v>261</v>
      </c>
      <c r="E261" s="10" t="s">
        <v>16</v>
      </c>
      <c r="F261" s="11">
        <v>0</v>
      </c>
      <c r="G261" s="11">
        <v>792.0000</v>
      </c>
      <c r="H261" s="11">
        <v>0</v>
      </c>
      <c r="I261" s="11">
        <v>792.0000</v>
      </c>
      <c r="J261" s="10" t="s">
        <v>58</v>
      </c>
    </row>
    <row r="262" ht="10.95" customHeight="true" customFormat="true" s="8">
      <c r="A262" s="12">
        <v>45366</v>
      </c>
      <c r="B262" s="13" t="s">
        <v>25</v>
      </c>
      <c r="C262" s="13" t="s">
        <v>262</v>
      </c>
      <c r="D262" s="13" t="s">
        <v>261</v>
      </c>
      <c r="E262" s="13" t="s">
        <v>16</v>
      </c>
      <c r="F262" s="14">
        <v>0</v>
      </c>
      <c r="G262" s="14">
        <v>936.0000</v>
      </c>
      <c r="H262" s="14">
        <v>0</v>
      </c>
      <c r="I262" s="14">
        <v>936.0000</v>
      </c>
      <c r="J262" s="13" t="s">
        <v>22</v>
      </c>
    </row>
    <row r="263" ht="10.95" customHeight="true" customFormat="true" s="8">
      <c r="A263" s="12">
        <v>45366</v>
      </c>
      <c r="B263" s="13" t="s">
        <v>25</v>
      </c>
      <c r="C263" s="13" t="s">
        <v>263</v>
      </c>
      <c r="D263" s="13" t="s">
        <v>261</v>
      </c>
      <c r="E263" s="13" t="s">
        <v>16</v>
      </c>
      <c r="F263" s="14">
        <v>0</v>
      </c>
      <c r="G263" s="14">
        <v>936.0000</v>
      </c>
      <c r="H263" s="14">
        <v>0</v>
      </c>
      <c r="I263" s="14">
        <v>936.0000</v>
      </c>
      <c r="J263" s="13" t="s">
        <v>47</v>
      </c>
    </row>
    <row r="264" ht="10.95" customHeight="true" customFormat="true" s="8">
      <c r="A264" s="12">
        <v>45376</v>
      </c>
      <c r="B264" s="13" t="s">
        <v>25</v>
      </c>
      <c r="C264" s="13" t="s">
        <v>263</v>
      </c>
      <c r="D264" s="13" t="s">
        <v>264</v>
      </c>
      <c r="E264" s="13" t="s">
        <v>16</v>
      </c>
      <c r="F264" s="14">
        <v>0</v>
      </c>
      <c r="G264" s="14">
        <v>2340.0000</v>
      </c>
      <c r="H264" s="14">
        <v>0</v>
      </c>
      <c r="I264" s="14">
        <v>2340.0000</v>
      </c>
      <c r="J264" s="13" t="s">
        <v>47</v>
      </c>
    </row>
    <row r="265" ht="10.95" customHeight="true" customFormat="true" s="8">
      <c r="A265" s="12">
        <v>45376</v>
      </c>
      <c r="B265" s="13" t="s">
        <v>25</v>
      </c>
      <c r="C265" s="13" t="s">
        <v>262</v>
      </c>
      <c r="D265" s="13" t="s">
        <v>264</v>
      </c>
      <c r="E265" s="13" t="s">
        <v>16</v>
      </c>
      <c r="F265" s="14">
        <v>0</v>
      </c>
      <c r="G265" s="14">
        <v>2340.0000</v>
      </c>
      <c r="H265" s="14">
        <v>0</v>
      </c>
      <c r="I265" s="14">
        <v>2340.0000</v>
      </c>
      <c r="J265" s="13" t="s">
        <v>22</v>
      </c>
    </row>
    <row r="266" ht="10.95" customHeight="true" customFormat="true" s="8">
      <c r="A266" s="12">
        <v>45399</v>
      </c>
      <c r="B266" s="13" t="s">
        <v>25</v>
      </c>
      <c r="C266" s="13" t="s">
        <v>260</v>
      </c>
      <c r="D266" s="13" t="s">
        <v>265</v>
      </c>
      <c r="E266" s="13" t="s">
        <v>16</v>
      </c>
      <c r="F266" s="14">
        <v>0</v>
      </c>
      <c r="G266" s="14">
        <v>1980.0000</v>
      </c>
      <c r="H266" s="14">
        <v>0</v>
      </c>
      <c r="I266" s="14">
        <v>1980.0000</v>
      </c>
      <c r="J266" s="13" t="s">
        <v>58</v>
      </c>
    </row>
    <row r="267" ht="10.95" customHeight="true" customFormat="true" s="8">
      <c r="A267" s="12">
        <v>45399</v>
      </c>
      <c r="B267" s="13" t="s">
        <v>25</v>
      </c>
      <c r="C267" s="13" t="s">
        <v>262</v>
      </c>
      <c r="D267" s="13" t="s">
        <v>265</v>
      </c>
      <c r="E267" s="13" t="s">
        <v>16</v>
      </c>
      <c r="F267" s="14">
        <v>0</v>
      </c>
      <c r="G267" s="14">
        <v>702.0000</v>
      </c>
      <c r="H267" s="14">
        <v>0</v>
      </c>
      <c r="I267" s="14">
        <v>702.0000</v>
      </c>
      <c r="J267" s="13" t="s">
        <v>22</v>
      </c>
    </row>
    <row r="268" ht="10.95" customHeight="true" customFormat="true" s="8">
      <c r="A268" s="12">
        <v>45399</v>
      </c>
      <c r="B268" s="13" t="s">
        <v>25</v>
      </c>
      <c r="C268" s="13" t="s">
        <v>263</v>
      </c>
      <c r="D268" s="13" t="s">
        <v>265</v>
      </c>
      <c r="E268" s="13" t="s">
        <v>16</v>
      </c>
      <c r="F268" s="14">
        <v>0</v>
      </c>
      <c r="G268" s="14">
        <v>1404.0000</v>
      </c>
      <c r="H268" s="14">
        <v>0</v>
      </c>
      <c r="I268" s="14">
        <v>1404.0000</v>
      </c>
      <c r="J268" s="13" t="s">
        <v>47</v>
      </c>
    </row>
    <row r="269" ht="10.95" customHeight="true" customFormat="true" s="8">
      <c r="A269" s="12">
        <v>45407</v>
      </c>
      <c r="B269" s="13" t="s">
        <v>25</v>
      </c>
      <c r="C269" s="13" t="s">
        <v>263</v>
      </c>
      <c r="D269" s="13" t="s">
        <v>266</v>
      </c>
      <c r="E269" s="13" t="s">
        <v>16</v>
      </c>
      <c r="F269" s="14">
        <v>0</v>
      </c>
      <c r="G269" s="14">
        <v>468.0000</v>
      </c>
      <c r="H269" s="14">
        <v>0</v>
      </c>
      <c r="I269" s="14">
        <v>468.0000</v>
      </c>
      <c r="J269" s="13" t="s">
        <v>47</v>
      </c>
    </row>
    <row r="270" ht="10.95" customHeight="true" customFormat="true" s="8">
      <c r="A270" s="12">
        <v>45407</v>
      </c>
      <c r="B270" s="13" t="s">
        <v>25</v>
      </c>
      <c r="C270" s="13" t="s">
        <v>260</v>
      </c>
      <c r="D270" s="13" t="s">
        <v>267</v>
      </c>
      <c r="E270" s="13" t="s">
        <v>16</v>
      </c>
      <c r="F270" s="14">
        <v>0</v>
      </c>
      <c r="G270" s="14">
        <v>1188.0000</v>
      </c>
      <c r="H270" s="14">
        <v>0</v>
      </c>
      <c r="I270" s="14">
        <v>1188.0000</v>
      </c>
      <c r="J270" s="13" t="s">
        <v>58</v>
      </c>
    </row>
    <row r="271" ht="10.95" customHeight="true" customFormat="true" s="8">
      <c r="A271" s="12">
        <v>45407</v>
      </c>
      <c r="B271" s="13" t="s">
        <v>25</v>
      </c>
      <c r="C271" s="13" t="s">
        <v>262</v>
      </c>
      <c r="D271" s="13" t="s">
        <v>267</v>
      </c>
      <c r="E271" s="13" t="s">
        <v>16</v>
      </c>
      <c r="F271" s="14">
        <v>0</v>
      </c>
      <c r="G271" s="14">
        <v>936.0000</v>
      </c>
      <c r="H271" s="14">
        <v>0</v>
      </c>
      <c r="I271" s="14">
        <v>936.0000</v>
      </c>
      <c r="J271" s="13" t="s">
        <v>22</v>
      </c>
    </row>
    <row r="272" ht="10.95" customHeight="true" customFormat="true" s="8">
      <c r="A272" s="12">
        <v>45429</v>
      </c>
      <c r="B272" s="13" t="s">
        <v>25</v>
      </c>
      <c r="C272" s="13" t="s">
        <v>263</v>
      </c>
      <c r="D272" s="13" t="s">
        <v>268</v>
      </c>
      <c r="E272" s="13" t="s">
        <v>16</v>
      </c>
      <c r="F272" s="14">
        <v>0</v>
      </c>
      <c r="G272" s="14">
        <v>468.0000</v>
      </c>
      <c r="H272" s="14">
        <v>0</v>
      </c>
      <c r="I272" s="14">
        <v>468.0000</v>
      </c>
      <c r="J272" s="13" t="s">
        <v>47</v>
      </c>
    </row>
    <row r="273" ht="10.95" customHeight="true" customFormat="true" s="8">
      <c r="A273" s="12">
        <v>45432</v>
      </c>
      <c r="B273" s="13" t="s">
        <v>25</v>
      </c>
      <c r="C273" s="13" t="s">
        <v>263</v>
      </c>
      <c r="D273" s="13" t="s">
        <v>269</v>
      </c>
      <c r="E273" s="13" t="s">
        <v>16</v>
      </c>
      <c r="F273" s="14">
        <v>0</v>
      </c>
      <c r="G273" s="14">
        <v>1404.0000</v>
      </c>
      <c r="H273" s="14">
        <v>0</v>
      </c>
      <c r="I273" s="14">
        <v>1404.0000</v>
      </c>
      <c r="J273" s="13" t="s">
        <v>47</v>
      </c>
    </row>
    <row r="274" ht="10.95" customHeight="true" customFormat="true" s="8">
      <c r="A274" s="12">
        <v>45432</v>
      </c>
      <c r="B274" s="13" t="s">
        <v>25</v>
      </c>
      <c r="C274" s="13" t="s">
        <v>260</v>
      </c>
      <c r="D274" s="13" t="s">
        <v>269</v>
      </c>
      <c r="E274" s="13" t="s">
        <v>16</v>
      </c>
      <c r="F274" s="14">
        <v>0</v>
      </c>
      <c r="G274" s="14">
        <v>792.0000</v>
      </c>
      <c r="H274" s="14">
        <v>0</v>
      </c>
      <c r="I274" s="14">
        <v>792.0000</v>
      </c>
      <c r="J274" s="13" t="s">
        <v>58</v>
      </c>
    </row>
    <row r="275" ht="10.95" customHeight="true" customFormat="true" s="8">
      <c r="A275" s="12">
        <v>45432</v>
      </c>
      <c r="B275" s="13" t="s">
        <v>25</v>
      </c>
      <c r="C275" s="13" t="s">
        <v>262</v>
      </c>
      <c r="D275" s="13" t="s">
        <v>269</v>
      </c>
      <c r="E275" s="13" t="s">
        <v>16</v>
      </c>
      <c r="F275" s="14">
        <v>0</v>
      </c>
      <c r="G275" s="14">
        <v>234.0000</v>
      </c>
      <c r="H275" s="14">
        <v>0</v>
      </c>
      <c r="I275" s="14">
        <v>234.0000</v>
      </c>
      <c r="J275" s="13" t="s">
        <v>22</v>
      </c>
    </row>
    <row r="276" ht="10.95" customHeight="true" customFormat="true" s="8">
      <c r="A276" s="12">
        <v>45581</v>
      </c>
      <c r="B276" s="13" t="s">
        <v>25</v>
      </c>
      <c r="C276" s="13" t="s">
        <v>263</v>
      </c>
      <c r="D276" s="13" t="s">
        <v>270</v>
      </c>
      <c r="E276" s="13" t="s">
        <v>16</v>
      </c>
      <c r="F276" s="14">
        <v>0</v>
      </c>
      <c r="G276" s="14">
        <v>936.0000</v>
      </c>
      <c r="H276" s="14">
        <v>0</v>
      </c>
      <c r="I276" s="14">
        <v>936.0000</v>
      </c>
      <c r="J276" s="13" t="s">
        <v>47</v>
      </c>
    </row>
    <row r="277" ht="10.95" customHeight="true" customFormat="true" s="8">
      <c r="A277" s="12">
        <v>45581</v>
      </c>
      <c r="B277" s="13" t="s">
        <v>25</v>
      </c>
      <c r="C277" s="13" t="s">
        <v>262</v>
      </c>
      <c r="D277" s="13" t="s">
        <v>270</v>
      </c>
      <c r="E277" s="13" t="s">
        <v>16</v>
      </c>
      <c r="F277" s="14">
        <v>0</v>
      </c>
      <c r="G277" s="14">
        <v>936.0000</v>
      </c>
      <c r="H277" s="14">
        <v>0</v>
      </c>
      <c r="I277" s="14">
        <v>936.0000</v>
      </c>
      <c r="J277" s="13" t="s">
        <v>22</v>
      </c>
    </row>
    <row r="278" ht="10.95" customHeight="true" customFormat="true" s="8">
      <c r="A278" s="12">
        <v>45581</v>
      </c>
      <c r="B278" s="13" t="s">
        <v>25</v>
      </c>
      <c r="C278" s="13" t="s">
        <v>262</v>
      </c>
      <c r="D278" s="13" t="s">
        <v>271</v>
      </c>
      <c r="E278" s="13" t="s">
        <v>16</v>
      </c>
      <c r="F278" s="14">
        <v>0</v>
      </c>
      <c r="G278" s="14">
        <v>936.0000</v>
      </c>
      <c r="H278" s="14">
        <v>0</v>
      </c>
      <c r="I278" s="14">
        <v>936.0000</v>
      </c>
      <c r="J278" s="13" t="s">
        <v>22</v>
      </c>
    </row>
    <row r="279" ht="10.95" customHeight="true" customFormat="true" s="8">
      <c r="A279" s="12">
        <v>45612</v>
      </c>
      <c r="B279" s="13" t="s">
        <v>25</v>
      </c>
      <c r="C279" s="13" t="s">
        <v>263</v>
      </c>
      <c r="D279" s="13" t="s">
        <v>272</v>
      </c>
      <c r="E279" s="13" t="s">
        <v>16</v>
      </c>
      <c r="F279" s="14">
        <v>0</v>
      </c>
      <c r="G279" s="14">
        <v>702.0000</v>
      </c>
      <c r="H279" s="14">
        <v>0</v>
      </c>
      <c r="I279" s="14">
        <v>702.0000</v>
      </c>
      <c r="J279" s="13" t="s">
        <v>47</v>
      </c>
    </row>
    <row r="280" ht="10.95" customHeight="true" customFormat="true" s="8">
      <c r="A280" s="12">
        <v>45612</v>
      </c>
      <c r="B280" s="13" t="s">
        <v>25</v>
      </c>
      <c r="C280" s="13" t="s">
        <v>260</v>
      </c>
      <c r="D280" s="13" t="s">
        <v>272</v>
      </c>
      <c r="E280" s="13" t="s">
        <v>16</v>
      </c>
      <c r="F280" s="14">
        <v>0</v>
      </c>
      <c r="G280" s="14">
        <v>3168.0000</v>
      </c>
      <c r="H280" s="14">
        <v>0</v>
      </c>
      <c r="I280" s="14">
        <v>3168.0000</v>
      </c>
      <c r="J280" s="13" t="s">
        <v>58</v>
      </c>
    </row>
    <row r="281" ht="10.95" customHeight="true" customFormat="true" s="8">
      <c r="A281" s="12">
        <v>45612</v>
      </c>
      <c r="B281" s="13" t="s">
        <v>25</v>
      </c>
      <c r="C281" s="13" t="s">
        <v>262</v>
      </c>
      <c r="D281" s="13" t="s">
        <v>272</v>
      </c>
      <c r="E281" s="13" t="s">
        <v>16</v>
      </c>
      <c r="F281" s="14">
        <v>0</v>
      </c>
      <c r="G281" s="14">
        <v>702.0000</v>
      </c>
      <c r="H281" s="14">
        <v>0</v>
      </c>
      <c r="I281" s="14">
        <v>702.0000</v>
      </c>
      <c r="J281" s="13" t="s">
        <v>22</v>
      </c>
    </row>
    <row r="282" ht="10.95" customHeight="true" customFormat="true" s="8">
      <c r="A282" s="12">
        <v>45686</v>
      </c>
      <c r="B282" s="13" t="s">
        <v>25</v>
      </c>
      <c r="C282" s="13" t="s">
        <v>262</v>
      </c>
      <c r="D282" s="13" t="s">
        <v>273</v>
      </c>
      <c r="E282" s="13" t="s">
        <v>16</v>
      </c>
      <c r="F282" s="14">
        <v>0</v>
      </c>
      <c r="G282" s="14">
        <v>234.0000</v>
      </c>
      <c r="H282" s="14">
        <v>0</v>
      </c>
      <c r="I282" s="14">
        <v>234.0000</v>
      </c>
      <c r="J282" s="13" t="s">
        <v>22</v>
      </c>
    </row>
    <row r="283" ht="10.95" customHeight="true" customFormat="true" s="8">
      <c r="A283" s="12">
        <v>45686</v>
      </c>
      <c r="B283" s="13" t="s">
        <v>25</v>
      </c>
      <c r="C283" s="13" t="s">
        <v>262</v>
      </c>
      <c r="D283" s="13" t="s">
        <v>274</v>
      </c>
      <c r="E283" s="13" t="s">
        <v>16</v>
      </c>
      <c r="F283" s="14">
        <v>0</v>
      </c>
      <c r="G283" s="14">
        <v>702.0000</v>
      </c>
      <c r="H283" s="14">
        <v>0</v>
      </c>
      <c r="I283" s="14">
        <v>702.0000</v>
      </c>
      <c r="J283" s="13" t="s">
        <v>22</v>
      </c>
    </row>
    <row r="284" ht="10.95" customHeight="true" customFormat="true" s="8">
      <c r="A284" s="12">
        <v>45686</v>
      </c>
      <c r="B284" s="13" t="s">
        <v>25</v>
      </c>
      <c r="C284" s="13" t="s">
        <v>262</v>
      </c>
      <c r="D284" s="13" t="s">
        <v>275</v>
      </c>
      <c r="E284" s="13" t="s">
        <v>16</v>
      </c>
      <c r="F284" s="14">
        <v>0</v>
      </c>
      <c r="G284" s="14">
        <v>1170.0000</v>
      </c>
      <c r="H284" s="14">
        <v>0</v>
      </c>
      <c r="I284" s="14">
        <v>1170.0000</v>
      </c>
      <c r="J284" s="13" t="s">
        <v>22</v>
      </c>
    </row>
    <row r="285" ht="10.95" customHeight="true" customFormat="true" s="8">
      <c r="A285" s="12">
        <v>45686</v>
      </c>
      <c r="B285" s="13" t="s">
        <v>25</v>
      </c>
      <c r="C285" s="13" t="s">
        <v>263</v>
      </c>
      <c r="D285" s="13" t="s">
        <v>273</v>
      </c>
      <c r="E285" s="13" t="s">
        <v>16</v>
      </c>
      <c r="F285" s="14">
        <v>0</v>
      </c>
      <c r="G285" s="14">
        <v>234.0000</v>
      </c>
      <c r="H285" s="14">
        <v>0</v>
      </c>
      <c r="I285" s="14">
        <v>234.0000</v>
      </c>
      <c r="J285" s="13" t="s">
        <v>47</v>
      </c>
    </row>
    <row r="286" ht="10.95" customHeight="true" customFormat="true" s="8">
      <c r="A286" s="12">
        <v>45686</v>
      </c>
      <c r="B286" s="13" t="s">
        <v>25</v>
      </c>
      <c r="C286" s="13" t="s">
        <v>263</v>
      </c>
      <c r="D286" s="13" t="s">
        <v>276</v>
      </c>
      <c r="E286" s="13" t="s">
        <v>16</v>
      </c>
      <c r="F286" s="14">
        <v>0</v>
      </c>
      <c r="G286" s="14">
        <v>1404.0000</v>
      </c>
      <c r="H286" s="14">
        <v>0</v>
      </c>
      <c r="I286" s="14">
        <v>1404.0000</v>
      </c>
      <c r="J286" s="13" t="s">
        <v>47</v>
      </c>
    </row>
    <row r="287" ht="10.95" customHeight="true" customFormat="true" s="8">
      <c r="A287" s="12">
        <v>45686</v>
      </c>
      <c r="B287" s="13" t="s">
        <v>25</v>
      </c>
      <c r="C287" s="13" t="s">
        <v>263</v>
      </c>
      <c r="D287" s="13" t="s">
        <v>274</v>
      </c>
      <c r="E287" s="13" t="s">
        <v>16</v>
      </c>
      <c r="F287" s="14">
        <v>0</v>
      </c>
      <c r="G287" s="14">
        <v>234.0000</v>
      </c>
      <c r="H287" s="14">
        <v>0</v>
      </c>
      <c r="I287" s="14">
        <v>234.0000</v>
      </c>
      <c r="J287" s="13" t="s">
        <v>47</v>
      </c>
    </row>
    <row r="288" ht="10.95" customHeight="true" customFormat="true" s="8">
      <c r="A288" s="12">
        <v>45686</v>
      </c>
      <c r="B288" s="13" t="s">
        <v>25</v>
      </c>
      <c r="C288" s="13" t="s">
        <v>263</v>
      </c>
      <c r="D288" s="13" t="s">
        <v>277</v>
      </c>
      <c r="E288" s="13" t="s">
        <v>16</v>
      </c>
      <c r="F288" s="14">
        <v>0</v>
      </c>
      <c r="G288" s="14">
        <v>702.0000</v>
      </c>
      <c r="H288" s="14">
        <v>0</v>
      </c>
      <c r="I288" s="14">
        <v>702.0000</v>
      </c>
      <c r="J288" s="13" t="s">
        <v>47</v>
      </c>
    </row>
    <row r="289" ht="10.95" customHeight="true" customFormat="true" s="8">
      <c r="A289" s="12">
        <v>45686</v>
      </c>
      <c r="B289" s="13" t="s">
        <v>25</v>
      </c>
      <c r="C289" s="13" t="s">
        <v>263</v>
      </c>
      <c r="D289" s="13" t="s">
        <v>275</v>
      </c>
      <c r="E289" s="13" t="s">
        <v>16</v>
      </c>
      <c r="F289" s="14">
        <v>0</v>
      </c>
      <c r="G289" s="14">
        <v>234.0000</v>
      </c>
      <c r="H289" s="14">
        <v>0</v>
      </c>
      <c r="I289" s="14">
        <v>234.0000</v>
      </c>
      <c r="J289" s="13" t="s">
        <v>47</v>
      </c>
    </row>
    <row r="290" ht="10.95" customHeight="true" customFormat="true" s="8">
      <c r="A290" s="12">
        <v>45705</v>
      </c>
      <c r="B290" s="13" t="s">
        <v>25</v>
      </c>
      <c r="C290" s="13" t="s">
        <v>263</v>
      </c>
      <c r="D290" s="13" t="s">
        <v>278</v>
      </c>
      <c r="E290" s="13" t="s">
        <v>16</v>
      </c>
      <c r="F290" s="14">
        <v>0</v>
      </c>
      <c r="G290" s="14">
        <v>234.0000</v>
      </c>
      <c r="H290" s="14">
        <v>0</v>
      </c>
      <c r="I290" s="14">
        <v>234.0000</v>
      </c>
      <c r="J290" s="13" t="s">
        <v>47</v>
      </c>
    </row>
    <row r="291" ht="10.95" customHeight="true" customFormat="true" s="8">
      <c r="A291" s="12">
        <v>45705</v>
      </c>
      <c r="B291" s="13" t="s">
        <v>25</v>
      </c>
      <c r="C291" s="13" t="s">
        <v>262</v>
      </c>
      <c r="D291" s="13" t="s">
        <v>279</v>
      </c>
      <c r="E291" s="13" t="s">
        <v>16</v>
      </c>
      <c r="F291" s="14">
        <v>0</v>
      </c>
      <c r="G291" s="14">
        <v>1170.0000</v>
      </c>
      <c r="H291" s="14">
        <v>0</v>
      </c>
      <c r="I291" s="14">
        <v>1170.0000</v>
      </c>
      <c r="J291" s="13" t="s">
        <v>22</v>
      </c>
    </row>
    <row r="292" ht="10.95" customHeight="true" customFormat="true" s="8">
      <c r="A292" s="12">
        <v>45705</v>
      </c>
      <c r="B292" s="13" t="s">
        <v>25</v>
      </c>
      <c r="C292" s="13" t="s">
        <v>262</v>
      </c>
      <c r="D292" s="13" t="s">
        <v>278</v>
      </c>
      <c r="E292" s="13" t="s">
        <v>16</v>
      </c>
      <c r="F292" s="14">
        <v>0</v>
      </c>
      <c r="G292" s="14">
        <v>468.0000</v>
      </c>
      <c r="H292" s="14">
        <v>0</v>
      </c>
      <c r="I292" s="14">
        <v>468.0000</v>
      </c>
      <c r="J292" s="13" t="s">
        <v>22</v>
      </c>
    </row>
    <row r="293" ht="10.95" customHeight="true" customFormat="true" s="8">
      <c r="A293" s="12">
        <v>45721</v>
      </c>
      <c r="B293" s="13" t="s">
        <v>25</v>
      </c>
      <c r="C293" s="13" t="s">
        <v>263</v>
      </c>
      <c r="D293" s="13" t="s">
        <v>280</v>
      </c>
      <c r="E293" s="13" t="s">
        <v>16</v>
      </c>
      <c r="F293" s="14">
        <v>0</v>
      </c>
      <c r="G293" s="14">
        <v>468.0000</v>
      </c>
      <c r="H293" s="14">
        <v>0</v>
      </c>
      <c r="I293" s="14">
        <v>468.0000</v>
      </c>
      <c r="J293" s="13" t="s">
        <v>47</v>
      </c>
    </row>
    <row r="294" ht="10.95" customHeight="true" customFormat="true" s="8">
      <c r="A294" s="12">
        <v>45734</v>
      </c>
      <c r="B294" s="13" t="s">
        <v>25</v>
      </c>
      <c r="C294" s="13" t="s">
        <v>263</v>
      </c>
      <c r="D294" s="13" t="s">
        <v>281</v>
      </c>
      <c r="E294" s="13" t="s">
        <v>16</v>
      </c>
      <c r="F294" s="14">
        <v>0</v>
      </c>
      <c r="G294" s="14">
        <v>1170.0000</v>
      </c>
      <c r="H294" s="14">
        <v>0</v>
      </c>
      <c r="I294" s="14">
        <v>1170.0000</v>
      </c>
      <c r="J294" s="13" t="s">
        <v>47</v>
      </c>
    </row>
    <row r="295" ht="10.95" customHeight="true" customFormat="true" s="8">
      <c r="A295" s="12">
        <v>45734</v>
      </c>
      <c r="B295" s="13" t="s">
        <v>25</v>
      </c>
      <c r="C295" s="13" t="s">
        <v>260</v>
      </c>
      <c r="D295" s="13" t="s">
        <v>281</v>
      </c>
      <c r="E295" s="13" t="s">
        <v>16</v>
      </c>
      <c r="F295" s="14">
        <v>0</v>
      </c>
      <c r="G295" s="14">
        <v>2376.0000</v>
      </c>
      <c r="H295" s="14">
        <v>0</v>
      </c>
      <c r="I295" s="14">
        <v>2376.0000</v>
      </c>
      <c r="J295" s="13" t="s">
        <v>58</v>
      </c>
    </row>
    <row r="296" ht="10.95" customHeight="true" customFormat="true" s="8">
      <c r="A296" s="12">
        <v>45734</v>
      </c>
      <c r="B296" s="13" t="s">
        <v>25</v>
      </c>
      <c r="C296" s="13" t="s">
        <v>262</v>
      </c>
      <c r="D296" s="13" t="s">
        <v>281</v>
      </c>
      <c r="E296" s="13" t="s">
        <v>16</v>
      </c>
      <c r="F296" s="14">
        <v>0</v>
      </c>
      <c r="G296" s="14">
        <v>1170.0000</v>
      </c>
      <c r="H296" s="14">
        <v>0</v>
      </c>
      <c r="I296" s="14">
        <v>1170.0000</v>
      </c>
      <c r="J296" s="13" t="s">
        <v>22</v>
      </c>
    </row>
    <row r="297" ht="10.95" customHeight="true" customFormat="true" s="8">
      <c r="A297" s="12">
        <v>45785</v>
      </c>
      <c r="B297" s="13" t="s">
        <v>25</v>
      </c>
      <c r="C297" s="13" t="s">
        <v>262</v>
      </c>
      <c r="D297" s="13" t="s">
        <v>282</v>
      </c>
      <c r="E297" s="13" t="s">
        <v>16</v>
      </c>
      <c r="F297" s="14">
        <v>0</v>
      </c>
      <c r="G297" s="14">
        <v>1638.0000</v>
      </c>
      <c r="H297" s="14">
        <v>0</v>
      </c>
      <c r="I297" s="14">
        <v>1638.0000</v>
      </c>
      <c r="J297" s="13" t="s">
        <v>22</v>
      </c>
    </row>
    <row r="298" ht="10.95" customHeight="true" customFormat="true" s="8">
      <c r="A298" s="12">
        <v>45785</v>
      </c>
      <c r="B298" s="13" t="s">
        <v>25</v>
      </c>
      <c r="C298" s="13" t="s">
        <v>263</v>
      </c>
      <c r="D298" s="13" t="s">
        <v>282</v>
      </c>
      <c r="E298" s="13" t="s">
        <v>16</v>
      </c>
      <c r="F298" s="14">
        <v>0</v>
      </c>
      <c r="G298" s="14">
        <v>702.0000</v>
      </c>
      <c r="H298" s="14">
        <v>0</v>
      </c>
      <c r="I298" s="14">
        <v>702.0000</v>
      </c>
      <c r="J298" s="13" t="s">
        <v>47</v>
      </c>
    </row>
    <row r="299" ht="10.95" customHeight="true" customFormat="true" s="8">
      <c r="A299" s="12">
        <v>45792</v>
      </c>
      <c r="B299" s="13" t="s">
        <v>25</v>
      </c>
      <c r="C299" s="13" t="s">
        <v>263</v>
      </c>
      <c r="D299" s="13" t="s">
        <v>283</v>
      </c>
      <c r="E299" s="13" t="s">
        <v>16</v>
      </c>
      <c r="F299" s="14">
        <v>0</v>
      </c>
      <c r="G299" s="14">
        <v>234.0000</v>
      </c>
      <c r="H299" s="14">
        <v>0</v>
      </c>
      <c r="I299" s="14">
        <v>234.0000</v>
      </c>
      <c r="J299" s="13" t="s">
        <v>47</v>
      </c>
    </row>
    <row r="300" ht="10.95" customHeight="true" customFormat="true" s="8">
      <c r="A300" s="12">
        <v>45792</v>
      </c>
      <c r="B300" s="13" t="s">
        <v>25</v>
      </c>
      <c r="C300" s="13" t="s">
        <v>263</v>
      </c>
      <c r="D300" s="13" t="s">
        <v>284</v>
      </c>
      <c r="E300" s="13" t="s">
        <v>16</v>
      </c>
      <c r="F300" s="14">
        <v>0</v>
      </c>
      <c r="G300" s="14">
        <v>1170.0000</v>
      </c>
      <c r="H300" s="14">
        <v>0</v>
      </c>
      <c r="I300" s="14">
        <v>1170.0000</v>
      </c>
      <c r="J300" s="13" t="s">
        <v>47</v>
      </c>
    </row>
    <row r="301" ht="10.95" customHeight="true" customFormat="true" s="8">
      <c r="A301" s="12">
        <v>45792</v>
      </c>
      <c r="B301" s="13" t="s">
        <v>25</v>
      </c>
      <c r="C301" s="13" t="s">
        <v>262</v>
      </c>
      <c r="D301" s="13" t="s">
        <v>283</v>
      </c>
      <c r="E301" s="13" t="s">
        <v>16</v>
      </c>
      <c r="F301" s="14">
        <v>0</v>
      </c>
      <c r="G301" s="14">
        <v>234.0000</v>
      </c>
      <c r="H301" s="14">
        <v>0</v>
      </c>
      <c r="I301" s="14">
        <v>234.0000</v>
      </c>
      <c r="J301" s="13" t="s">
        <v>22</v>
      </c>
    </row>
    <row r="302" ht="10.95" customHeight="true" customFormat="true" s="8">
      <c r="A302" s="12">
        <v>45869</v>
      </c>
      <c r="B302" s="13" t="s">
        <v>25</v>
      </c>
      <c r="C302" s="13" t="s">
        <v>263</v>
      </c>
      <c r="D302" s="13" t="s">
        <v>285</v>
      </c>
      <c r="E302" s="13" t="s">
        <v>16</v>
      </c>
      <c r="F302" s="14">
        <v>0</v>
      </c>
      <c r="G302" s="14">
        <v>468.0000</v>
      </c>
      <c r="H302" s="14">
        <v>0</v>
      </c>
      <c r="I302" s="14">
        <v>468.0000</v>
      </c>
      <c r="J302" s="13" t="s">
        <v>47</v>
      </c>
    </row>
    <row r="303" ht="10.95" customHeight="true" customFormat="true" s="8">
      <c r="A303" s="12">
        <v>45869</v>
      </c>
      <c r="B303" s="13" t="s">
        <v>25</v>
      </c>
      <c r="C303" s="13" t="s">
        <v>263</v>
      </c>
      <c r="D303" s="13" t="s">
        <v>286</v>
      </c>
      <c r="E303" s="13" t="s">
        <v>16</v>
      </c>
      <c r="F303" s="14">
        <v>0</v>
      </c>
      <c r="G303" s="14">
        <v>234.0000</v>
      </c>
      <c r="H303" s="14">
        <v>0</v>
      </c>
      <c r="I303" s="14">
        <v>234.0000</v>
      </c>
      <c r="J303" s="13" t="s">
        <v>47</v>
      </c>
    </row>
    <row r="304" ht="10.95" customHeight="true" customFormat="true" s="8">
      <c r="A304" s="12">
        <v>45869</v>
      </c>
      <c r="B304" s="13" t="s">
        <v>25</v>
      </c>
      <c r="C304" s="13" t="s">
        <v>262</v>
      </c>
      <c r="D304" s="13" t="s">
        <v>285</v>
      </c>
      <c r="E304" s="13" t="s">
        <v>16</v>
      </c>
      <c r="F304" s="14">
        <v>0</v>
      </c>
      <c r="G304" s="14">
        <v>936.0000</v>
      </c>
      <c r="H304" s="14">
        <v>0</v>
      </c>
      <c r="I304" s="14">
        <v>936.0000</v>
      </c>
      <c r="J304" s="13" t="s">
        <v>22</v>
      </c>
    </row>
    <row r="305" ht="10.95" customHeight="true" customFormat="true" s="8">
      <c r="A305" s="12">
        <v>45989</v>
      </c>
      <c r="B305" s="13" t="s">
        <v>25</v>
      </c>
      <c r="C305" s="13" t="s">
        <v>287</v>
      </c>
      <c r="D305" s="13" t="s">
        <v>288</v>
      </c>
      <c r="E305" s="13" t="s">
        <v>16</v>
      </c>
      <c r="F305" s="14">
        <v>0</v>
      </c>
      <c r="G305" s="14">
        <v>1487.5000</v>
      </c>
      <c r="H305" s="14">
        <v>0</v>
      </c>
      <c r="I305" s="14">
        <v>1487.5000</v>
      </c>
      <c r="J305" s="13" t="s">
        <v>145</v>
      </c>
    </row>
    <row r="306" ht="10.95" customHeight="true" customFormat="true" s="8">
      <c r="A306" s="12">
        <v>46141</v>
      </c>
      <c r="B306" s="13" t="s">
        <v>25</v>
      </c>
      <c r="C306" s="13" t="s">
        <v>260</v>
      </c>
      <c r="D306" s="13" t="s">
        <v>289</v>
      </c>
      <c r="E306" s="13" t="s">
        <v>16</v>
      </c>
      <c r="F306" s="14">
        <v>0</v>
      </c>
      <c r="G306" s="14">
        <v>396.0000</v>
      </c>
      <c r="H306" s="14">
        <v>0</v>
      </c>
      <c r="I306" s="14">
        <v>396.0000</v>
      </c>
      <c r="J306" s="13" t="s">
        <v>58</v>
      </c>
    </row>
    <row r="307" ht="10.95" customHeight="true" customFormat="true" s="8">
      <c r="A307" s="12">
        <v>46141</v>
      </c>
      <c r="B307" s="13" t="s">
        <v>25</v>
      </c>
      <c r="C307" s="13" t="s">
        <v>260</v>
      </c>
      <c r="D307" s="13" t="s">
        <v>290</v>
      </c>
      <c r="E307" s="13" t="s">
        <v>16</v>
      </c>
      <c r="F307" s="14">
        <v>0</v>
      </c>
      <c r="G307" s="14">
        <v>792.0000</v>
      </c>
      <c r="H307" s="14">
        <v>0</v>
      </c>
      <c r="I307" s="14">
        <v>792.0000</v>
      </c>
      <c r="J307" s="13" t="s">
        <v>58</v>
      </c>
    </row>
    <row r="308" ht="10.95" customHeight="true" customFormat="true" s="8">
      <c r="A308" s="12">
        <v>46141</v>
      </c>
      <c r="B308" s="13" t="s">
        <v>25</v>
      </c>
      <c r="C308" s="13" t="s">
        <v>263</v>
      </c>
      <c r="D308" s="13" t="s">
        <v>289</v>
      </c>
      <c r="E308" s="13" t="s">
        <v>16</v>
      </c>
      <c r="F308" s="14">
        <v>0</v>
      </c>
      <c r="G308" s="14">
        <v>234.0000</v>
      </c>
      <c r="H308" s="14">
        <v>0</v>
      </c>
      <c r="I308" s="14">
        <v>234.0000</v>
      </c>
      <c r="J308" s="13" t="s">
        <v>47</v>
      </c>
    </row>
    <row r="309" ht="10.95" customHeight="true" customFormat="true" s="8">
      <c r="A309" s="12">
        <v>46141</v>
      </c>
      <c r="B309" s="13" t="s">
        <v>25</v>
      </c>
      <c r="C309" s="13" t="s">
        <v>263</v>
      </c>
      <c r="D309" s="13" t="s">
        <v>291</v>
      </c>
      <c r="E309" s="13" t="s">
        <v>16</v>
      </c>
      <c r="F309" s="14">
        <v>0</v>
      </c>
      <c r="G309" s="14">
        <v>234.0000</v>
      </c>
      <c r="H309" s="14">
        <v>0</v>
      </c>
      <c r="I309" s="14">
        <v>234.0000</v>
      </c>
      <c r="J309" s="13" t="s">
        <v>47</v>
      </c>
    </row>
    <row r="310" ht="10.95" customHeight="true" customFormat="true" s="8">
      <c r="A310" s="12">
        <v>46141</v>
      </c>
      <c r="B310" s="13" t="s">
        <v>25</v>
      </c>
      <c r="C310" s="13" t="s">
        <v>262</v>
      </c>
      <c r="D310" s="13" t="s">
        <v>289</v>
      </c>
      <c r="E310" s="13" t="s">
        <v>16</v>
      </c>
      <c r="F310" s="14">
        <v>0</v>
      </c>
      <c r="G310" s="14">
        <v>234.0000</v>
      </c>
      <c r="H310" s="14">
        <v>0</v>
      </c>
      <c r="I310" s="14">
        <v>234.0000</v>
      </c>
      <c r="J310" s="13" t="s">
        <v>22</v>
      </c>
    </row>
    <row r="311" ht="10.95" customHeight="true" customFormat="true" s="8">
      <c r="A311" s="12">
        <v>46141</v>
      </c>
      <c r="B311" s="13" t="s">
        <v>25</v>
      </c>
      <c r="C311" s="13" t="s">
        <v>262</v>
      </c>
      <c r="D311" s="13" t="s">
        <v>292</v>
      </c>
      <c r="E311" s="13" t="s">
        <v>16</v>
      </c>
      <c r="F311" s="14">
        <v>0</v>
      </c>
      <c r="G311" s="14">
        <v>468.0000</v>
      </c>
      <c r="H311" s="14">
        <v>0</v>
      </c>
      <c r="I311" s="14">
        <v>468.0000</v>
      </c>
      <c r="J311" s="13" t="s">
        <v>22</v>
      </c>
    </row>
    <row r="312" ht="10.95" customHeight="true" customFormat="true" s="8">
      <c r="A312" s="12">
        <v>46141</v>
      </c>
      <c r="B312" s="13" t="s">
        <v>25</v>
      </c>
      <c r="C312" s="13" t="s">
        <v>262</v>
      </c>
      <c r="D312" s="13" t="s">
        <v>291</v>
      </c>
      <c r="E312" s="13" t="s">
        <v>16</v>
      </c>
      <c r="F312" s="14">
        <v>0</v>
      </c>
      <c r="G312" s="14">
        <v>234.0000</v>
      </c>
      <c r="H312" s="14">
        <v>0</v>
      </c>
      <c r="I312" s="14">
        <v>234.0000</v>
      </c>
      <c r="J312" s="13" t="s">
        <v>22</v>
      </c>
    </row>
    <row r="313" ht="10.95" customHeight="true" customFormat="true" s="8">
      <c r="A313" s="12">
        <v>46173</v>
      </c>
      <c r="B313" s="13" t="s">
        <v>25</v>
      </c>
      <c r="C313" s="13" t="s">
        <v>262</v>
      </c>
      <c r="D313" s="13" t="s">
        <v>293</v>
      </c>
      <c r="E313" s="13" t="s">
        <v>16</v>
      </c>
      <c r="F313" s="14">
        <v>0</v>
      </c>
      <c r="G313" s="14">
        <v>468.0000</v>
      </c>
      <c r="H313" s="14">
        <v>0</v>
      </c>
      <c r="I313" s="14">
        <v>468.0000</v>
      </c>
      <c r="J313" s="13" t="s">
        <v>22</v>
      </c>
    </row>
    <row r="314" ht="10.95" customHeight="true" customFormat="true" s="8">
      <c r="A314" s="12">
        <v>46173</v>
      </c>
      <c r="B314" s="13" t="s">
        <v>25</v>
      </c>
      <c r="C314" s="13" t="s">
        <v>262</v>
      </c>
      <c r="D314" s="13" t="s">
        <v>294</v>
      </c>
      <c r="E314" s="13" t="s">
        <v>16</v>
      </c>
      <c r="F314" s="14">
        <v>0</v>
      </c>
      <c r="G314" s="14">
        <v>936.0000</v>
      </c>
      <c r="H314" s="14">
        <v>0</v>
      </c>
      <c r="I314" s="14">
        <v>936.0000</v>
      </c>
      <c r="J314" s="13" t="s">
        <v>22</v>
      </c>
    </row>
    <row r="315" ht="10.95" customHeight="true" customFormat="true" s="8">
      <c r="A315" s="12">
        <v>46173</v>
      </c>
      <c r="B315" s="13" t="s">
        <v>25</v>
      </c>
      <c r="C315" s="13" t="s">
        <v>263</v>
      </c>
      <c r="D315" s="13" t="s">
        <v>293</v>
      </c>
      <c r="E315" s="13" t="s">
        <v>16</v>
      </c>
      <c r="F315" s="14">
        <v>0</v>
      </c>
      <c r="G315" s="14">
        <v>468.0000</v>
      </c>
      <c r="H315" s="14">
        <v>0</v>
      </c>
      <c r="I315" s="14">
        <v>468.0000</v>
      </c>
      <c r="J315" s="13" t="s">
        <v>47</v>
      </c>
    </row>
    <row r="316" ht="10.95" customHeight="true" customFormat="true" s="8">
      <c r="A316" s="12">
        <v>46173</v>
      </c>
      <c r="B316" s="13" t="s">
        <v>25</v>
      </c>
      <c r="C316" s="13" t="s">
        <v>263</v>
      </c>
      <c r="D316" s="13" t="s">
        <v>294</v>
      </c>
      <c r="E316" s="13" t="s">
        <v>16</v>
      </c>
      <c r="F316" s="14">
        <v>0</v>
      </c>
      <c r="G316" s="14">
        <v>468.0000</v>
      </c>
      <c r="H316" s="14">
        <v>0</v>
      </c>
      <c r="I316" s="14">
        <v>468.0000</v>
      </c>
      <c r="J316" s="13" t="s">
        <v>47</v>
      </c>
    </row>
    <row r="317" ht="10.95" customHeight="true" customFormat="true" s="8">
      <c r="A317" s="12">
        <v>46173</v>
      </c>
      <c r="B317" s="13" t="s">
        <v>25</v>
      </c>
      <c r="C317" s="13" t="s">
        <v>260</v>
      </c>
      <c r="D317" s="13" t="s">
        <v>294</v>
      </c>
      <c r="E317" s="13" t="s">
        <v>16</v>
      </c>
      <c r="F317" s="14">
        <v>0</v>
      </c>
      <c r="G317" s="14">
        <v>1980.0000</v>
      </c>
      <c r="H317" s="14">
        <v>0</v>
      </c>
      <c r="I317" s="14">
        <v>1980.0000</v>
      </c>
      <c r="J317" s="13" t="s">
        <v>58</v>
      </c>
    </row>
    <row r="318" ht="10.95" customHeight="true" customFormat="true" s="8">
      <c r="A318" s="12">
        <v>46234</v>
      </c>
      <c r="B318" s="13" t="s">
        <v>25</v>
      </c>
      <c r="C318" s="13" t="s">
        <v>263</v>
      </c>
      <c r="D318" s="13" t="s">
        <v>295</v>
      </c>
      <c r="E318" s="13" t="s">
        <v>16</v>
      </c>
      <c r="F318" s="14">
        <v>0</v>
      </c>
      <c r="G318" s="14">
        <v>1404.0000</v>
      </c>
      <c r="H318" s="14">
        <v>0</v>
      </c>
      <c r="I318" s="14">
        <v>1404.0000</v>
      </c>
      <c r="J318" s="13" t="s">
        <v>47</v>
      </c>
    </row>
    <row r="319" ht="10.95" customHeight="true" customFormat="true" s="8">
      <c r="A319" s="12">
        <v>46234</v>
      </c>
      <c r="B319" s="13" t="s">
        <v>25</v>
      </c>
      <c r="C319" s="13" t="s">
        <v>263</v>
      </c>
      <c r="D319" s="13" t="s">
        <v>296</v>
      </c>
      <c r="E319" s="13" t="s">
        <v>16</v>
      </c>
      <c r="F319" s="14">
        <v>0</v>
      </c>
      <c r="G319" s="14">
        <v>234.0000</v>
      </c>
      <c r="H319" s="14">
        <v>0</v>
      </c>
      <c r="I319" s="14">
        <v>234.0000</v>
      </c>
      <c r="J319" s="13" t="s">
        <v>47</v>
      </c>
    </row>
    <row r="320" ht="10.95" customHeight="true" customFormat="true" s="8">
      <c r="A320" s="12">
        <v>46234</v>
      </c>
      <c r="B320" s="13" t="s">
        <v>25</v>
      </c>
      <c r="C320" s="13" t="s">
        <v>263</v>
      </c>
      <c r="D320" s="13" t="s">
        <v>297</v>
      </c>
      <c r="E320" s="13" t="s">
        <v>16</v>
      </c>
      <c r="F320" s="14">
        <v>0</v>
      </c>
      <c r="G320" s="14">
        <v>234.0000</v>
      </c>
      <c r="H320" s="14">
        <v>0</v>
      </c>
      <c r="I320" s="14">
        <v>234.0000</v>
      </c>
      <c r="J320" s="13" t="s">
        <v>47</v>
      </c>
    </row>
    <row r="321" ht="10.95" customHeight="true" customFormat="true" s="8">
      <c r="A321" s="12">
        <v>46234</v>
      </c>
      <c r="B321" s="13" t="s">
        <v>25</v>
      </c>
      <c r="C321" s="13" t="s">
        <v>262</v>
      </c>
      <c r="D321" s="13" t="s">
        <v>295</v>
      </c>
      <c r="E321" s="13" t="s">
        <v>16</v>
      </c>
      <c r="F321" s="14">
        <v>0</v>
      </c>
      <c r="G321" s="14">
        <v>1404.0000</v>
      </c>
      <c r="H321" s="14">
        <v>0</v>
      </c>
      <c r="I321" s="14">
        <v>1404.0000</v>
      </c>
      <c r="J321" s="13" t="s">
        <v>22</v>
      </c>
    </row>
    <row r="322" ht="10.95" customHeight="true" customFormat="true" s="8">
      <c r="A322" s="15" t="s">
        <v>298</v>
      </c>
      <c r="B322" s="15"/>
      <c r="C322" s="15"/>
      <c r="D322" s="15"/>
      <c r="E322" s="15"/>
      <c r="F322" s="16">
        <f ca="1">SUM(F261:F321)</f>
        <v>0</v>
      </c>
      <c r="G322" s="16">
        <f ca="1">SUM(G261:G321)</f>
        <v>0</v>
      </c>
      <c r="H322" s="16">
        <f ca="1">SUM(H261:H321)</f>
        <v>0</v>
      </c>
      <c r="I322" s="16">
        <f ca="1">SUM(I261:I321)</f>
        <v>0</v>
      </c>
      <c r="J322" s="15"/>
    </row>
    <row r="323" ht="13.35" customHeight="true"/>
    <row r="324" ht="10.95" customHeight="true" customFormat="true" s="8">
      <c r="A324" s="19" t="s">
        <v>23</v>
      </c>
      <c r="B324" s="19"/>
      <c r="C324" s="19"/>
      <c r="D324" s="19"/>
      <c r="E324" s="19"/>
      <c r="F324" s="20">
        <f ca="1">SUM(F9,F58,F82,F123,F129,F133,F137,F142,F151,F172,F197,F237,F241,F246,F252,F258,F322)</f>
        <v>0</v>
      </c>
      <c r="G324" s="20">
        <f ca="1">SUM(G9,G58,G82,G123,G129,G133,G137,G142,G151,G172,G197,G237,G241,G246,G252,G258,G322)</f>
        <v>0</v>
      </c>
      <c r="H324" s="20">
        <f ca="1">SUM(H9,H58,H82,H123,H129,H133,H137,H142,H151,H172,H197,H237,H241,H246,H252,H258,H322)</f>
        <v>0</v>
      </c>
      <c r="I324" s="20">
        <f ca="1">SUM(I9,I58,I82,I123,I129,I133,I137,I142,I151,I172,I197,I237,I241,I246,I252,I258,I322)</f>
        <v>0</v>
      </c>
      <c r="J324" s="19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